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ya\OneDrive\Desktop\"/>
    </mc:Choice>
  </mc:AlternateContent>
  <xr:revisionPtr revIDLastSave="0" documentId="13_ncr:1_{9C560D37-07C1-4264-8545-737ABC610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8" i="1" l="1"/>
  <c r="N7" i="1"/>
  <c r="Q2" i="1"/>
  <c r="E16" i="1" l="1"/>
  <c r="J67" i="1"/>
  <c r="J68" i="1" s="1"/>
  <c r="K68" i="1" s="1"/>
  <c r="J63" i="1"/>
  <c r="J60" i="1"/>
  <c r="O54" i="1"/>
  <c r="N54" i="1"/>
  <c r="M54" i="1"/>
  <c r="L54" i="1"/>
  <c r="K54" i="1"/>
  <c r="J43" i="1"/>
  <c r="L39" i="1"/>
  <c r="K39" i="1"/>
  <c r="K36" i="1"/>
  <c r="K41" i="1" s="1"/>
  <c r="J36" i="1"/>
  <c r="M24" i="1"/>
  <c r="B24" i="1"/>
  <c r="B23" i="1"/>
  <c r="O103" i="1"/>
  <c r="J12" i="1"/>
  <c r="J9" i="1"/>
  <c r="J41" i="1" s="1"/>
  <c r="J45" i="1" s="1"/>
  <c r="J46" i="1" s="1"/>
  <c r="E9" i="1"/>
  <c r="E11" i="1" s="1"/>
  <c r="E24" i="1"/>
  <c r="K63" i="1" l="1"/>
  <c r="K65" i="1" s="1"/>
  <c r="K76" i="1" s="1"/>
  <c r="K67" i="1"/>
  <c r="K75" i="1" s="1"/>
  <c r="K37" i="1"/>
  <c r="L36" i="1"/>
  <c r="M36" i="1" s="1"/>
  <c r="M43" i="1" s="1"/>
  <c r="M60" i="1" s="1"/>
  <c r="K43" i="1"/>
  <c r="K60" i="1" s="1"/>
  <c r="K74" i="1" s="1"/>
  <c r="J92" i="1"/>
  <c r="K89" i="1" s="1"/>
  <c r="F24" i="1"/>
  <c r="L68" i="1"/>
  <c r="E13" i="1"/>
  <c r="M26" i="1" s="1"/>
  <c r="M23" i="1"/>
  <c r="M39" i="1"/>
  <c r="N39" i="1" s="1"/>
  <c r="O39" i="1" s="1"/>
  <c r="J61" i="1"/>
  <c r="J74" i="1"/>
  <c r="N24" i="1"/>
  <c r="J75" i="1"/>
  <c r="M63" i="1" l="1"/>
  <c r="M37" i="1"/>
  <c r="L63" i="1"/>
  <c r="L65" i="1" s="1"/>
  <c r="L76" i="1" s="1"/>
  <c r="N36" i="1"/>
  <c r="L41" i="1"/>
  <c r="K61" i="1"/>
  <c r="L37" i="1"/>
  <c r="L43" i="1"/>
  <c r="L60" i="1" s="1"/>
  <c r="L61" i="1" s="1"/>
  <c r="K45" i="1"/>
  <c r="N26" i="1"/>
  <c r="L67" i="1"/>
  <c r="L75" i="1" s="1"/>
  <c r="M68" i="1"/>
  <c r="M41" i="1"/>
  <c r="M74" i="1"/>
  <c r="M61" i="1"/>
  <c r="N23" i="1"/>
  <c r="M29" i="1"/>
  <c r="K90" i="1"/>
  <c r="K92" i="1"/>
  <c r="L89" i="1" s="1"/>
  <c r="N37" i="1"/>
  <c r="N41" i="1"/>
  <c r="O36" i="1"/>
  <c r="N43" i="1"/>
  <c r="N60" i="1" s="1"/>
  <c r="N63" i="1"/>
  <c r="M65" i="1" l="1"/>
  <c r="M76" i="1" s="1"/>
  <c r="N65" i="1"/>
  <c r="N76" i="1" s="1"/>
  <c r="L74" i="1"/>
  <c r="K46" i="1"/>
  <c r="K53" i="1"/>
  <c r="K70" i="1" s="1"/>
  <c r="L45" i="1"/>
  <c r="L53" i="1" s="1"/>
  <c r="L70" i="1" s="1"/>
  <c r="N29" i="1"/>
  <c r="N74" i="1"/>
  <c r="N61" i="1"/>
  <c r="L90" i="1"/>
  <c r="L92" i="1"/>
  <c r="M89" i="1" s="1"/>
  <c r="M67" i="1"/>
  <c r="M75" i="1" s="1"/>
  <c r="N68" i="1"/>
  <c r="O43" i="1"/>
  <c r="O60" i="1" s="1"/>
  <c r="O63" i="1"/>
  <c r="O65" i="1" s="1"/>
  <c r="O76" i="1" s="1"/>
  <c r="O41" i="1"/>
  <c r="O37" i="1"/>
  <c r="O24" i="1"/>
  <c r="O23" i="1"/>
  <c r="M45" i="1"/>
  <c r="N45" i="1"/>
  <c r="O26" i="1"/>
  <c r="L46" i="1" l="1"/>
  <c r="O29" i="1"/>
  <c r="O68" i="1"/>
  <c r="O67" i="1" s="1"/>
  <c r="O75" i="1" s="1"/>
  <c r="N67" i="1"/>
  <c r="N75" i="1" s="1"/>
  <c r="M92" i="1"/>
  <c r="N89" i="1" s="1"/>
  <c r="M90" i="1"/>
  <c r="N53" i="1"/>
  <c r="N70" i="1" s="1"/>
  <c r="N46" i="1"/>
  <c r="O74" i="1"/>
  <c r="O61" i="1"/>
  <c r="M53" i="1"/>
  <c r="M70" i="1" s="1"/>
  <c r="M46" i="1"/>
  <c r="O45" i="1"/>
  <c r="O102" i="1"/>
  <c r="O104" i="1" s="1"/>
  <c r="O46" i="1" l="1"/>
  <c r="O53" i="1"/>
  <c r="O70" i="1" s="1"/>
  <c r="N92" i="1"/>
  <c r="O89" i="1" s="1"/>
  <c r="N90" i="1"/>
  <c r="O92" i="1" l="1"/>
  <c r="O90" i="1"/>
  <c r="E23" i="1" l="1"/>
  <c r="E25" i="1" s="1"/>
  <c r="E27" i="1" l="1"/>
  <c r="F23" i="1"/>
  <c r="F25" i="1" s="1"/>
  <c r="J86" i="1"/>
  <c r="F27" i="1" l="1"/>
  <c r="F29" i="1" s="1"/>
  <c r="O108" i="1"/>
  <c r="E29" i="1"/>
  <c r="J98" i="1"/>
  <c r="K83" i="1"/>
  <c r="K95" i="1" l="1"/>
  <c r="K84" i="1"/>
  <c r="K96" i="1" s="1"/>
  <c r="K48" i="1" s="1"/>
  <c r="G24" i="1"/>
  <c r="G23" i="1"/>
  <c r="G27" i="1"/>
  <c r="G25" i="1" l="1"/>
  <c r="G29" i="1" s="1"/>
  <c r="K50" i="1"/>
  <c r="K85" i="1"/>
  <c r="K56" i="1" l="1"/>
  <c r="K51" i="1"/>
  <c r="K97" i="1"/>
  <c r="K86" i="1"/>
  <c r="K73" i="1" l="1"/>
  <c r="K77" i="1" s="1"/>
  <c r="K57" i="1"/>
  <c r="L83" i="1"/>
  <c r="K98" i="1"/>
  <c r="L95" i="1" l="1"/>
  <c r="L84" i="1"/>
  <c r="L96" i="1" s="1"/>
  <c r="L48" i="1" s="1"/>
  <c r="L50" i="1" l="1"/>
  <c r="L85" i="1"/>
  <c r="L97" i="1" l="1"/>
  <c r="L86" i="1"/>
  <c r="L51" i="1"/>
  <c r="L56" i="1"/>
  <c r="L73" i="1" l="1"/>
  <c r="L77" i="1" s="1"/>
  <c r="L57" i="1"/>
  <c r="L98" i="1"/>
  <c r="M83" i="1"/>
  <c r="M95" i="1" l="1"/>
  <c r="M84" i="1"/>
  <c r="M96" i="1" s="1"/>
  <c r="M48" i="1" s="1"/>
  <c r="M85" i="1" l="1"/>
  <c r="M50" i="1"/>
  <c r="M51" i="1" l="1"/>
  <c r="M56" i="1"/>
  <c r="M97" i="1"/>
  <c r="M86" i="1"/>
  <c r="M98" i="1" l="1"/>
  <c r="N83" i="1"/>
  <c r="M73" i="1"/>
  <c r="M77" i="1" s="1"/>
  <c r="M57" i="1"/>
  <c r="N84" i="1" l="1"/>
  <c r="N96" i="1" s="1"/>
  <c r="N48" i="1" s="1"/>
  <c r="N95" i="1"/>
  <c r="N85" i="1" l="1"/>
  <c r="N50" i="1"/>
  <c r="N51" i="1" l="1"/>
  <c r="N56" i="1"/>
  <c r="N97" i="1"/>
  <c r="N86" i="1"/>
  <c r="O83" i="1" l="1"/>
  <c r="N98" i="1"/>
  <c r="N73" i="1"/>
  <c r="N77" i="1" s="1"/>
  <c r="N57" i="1"/>
  <c r="O84" i="1" l="1"/>
  <c r="O96" i="1" s="1"/>
  <c r="O48" i="1" s="1"/>
  <c r="O95" i="1"/>
  <c r="O85" i="1" l="1"/>
  <c r="O50" i="1"/>
  <c r="O56" i="1" l="1"/>
  <c r="O51" i="1"/>
  <c r="O97" i="1"/>
  <c r="O86" i="1"/>
  <c r="O98" i="1" s="1"/>
  <c r="O105" i="1" s="1"/>
  <c r="O106" i="1" s="1"/>
  <c r="O110" i="1" s="1"/>
  <c r="O111" i="1" s="1"/>
  <c r="C122" i="1" s="1"/>
  <c r="O11" i="1" l="1"/>
  <c r="C115" i="1"/>
  <c r="O57" i="1"/>
  <c r="O73" i="1"/>
  <c r="O77" i="1" s="1"/>
</calcChain>
</file>

<file path=xl/sharedStrings.xml><?xml version="1.0" encoding="utf-8"?>
<sst xmlns="http://schemas.openxmlformats.org/spreadsheetml/2006/main" count="132" uniqueCount="82">
  <si>
    <t>LBO (Vinati Organics)</t>
  </si>
  <si>
    <t>x</t>
  </si>
  <si>
    <t xml:space="preserve">Assumptions </t>
  </si>
  <si>
    <t>Entry ($MM)</t>
  </si>
  <si>
    <t xml:space="preserve">Financials </t>
  </si>
  <si>
    <t xml:space="preserve">Capital Structure </t>
  </si>
  <si>
    <t xml:space="preserve">Amount </t>
  </si>
  <si>
    <t xml:space="preserve">Cost </t>
  </si>
  <si>
    <t xml:space="preserve">LTM EBITDA </t>
  </si>
  <si>
    <t xml:space="preserve">LTM Financials </t>
  </si>
  <si>
    <t>Bank Debt</t>
  </si>
  <si>
    <t xml:space="preserve">EBITDA Multiple </t>
  </si>
  <si>
    <t>Revenue</t>
  </si>
  <si>
    <t>Senior Notes</t>
  </si>
  <si>
    <t xml:space="preserve">Enterprise Value </t>
  </si>
  <si>
    <t>EBITDA</t>
  </si>
  <si>
    <t xml:space="preserve">Existing Net Debt </t>
  </si>
  <si>
    <t>D&amp;A</t>
  </si>
  <si>
    <t>For Reference</t>
  </si>
  <si>
    <t xml:space="preserve">Equity Value </t>
  </si>
  <si>
    <t>Capex</t>
  </si>
  <si>
    <t>IRR</t>
  </si>
  <si>
    <t>NWC</t>
  </si>
  <si>
    <t xml:space="preserve">Fees and Expenses </t>
  </si>
  <si>
    <t>Operating Assumptions</t>
  </si>
  <si>
    <t>Exit ($MM)</t>
  </si>
  <si>
    <t>Revenue Growth</t>
  </si>
  <si>
    <t>YoY margin expansion</t>
  </si>
  <si>
    <t>(in 5 years)</t>
  </si>
  <si>
    <t>Tax Rate</t>
  </si>
  <si>
    <t>Sources and Uses</t>
  </si>
  <si>
    <t>Sources</t>
  </si>
  <si>
    <t>Uses</t>
  </si>
  <si>
    <t>Amount</t>
  </si>
  <si>
    <t>xEBITDA</t>
  </si>
  <si>
    <t>% Capital</t>
  </si>
  <si>
    <t xml:space="preserve">Purchase of Equity </t>
  </si>
  <si>
    <t xml:space="preserve">Refinancing of existing debt </t>
  </si>
  <si>
    <t>Total Debt</t>
  </si>
  <si>
    <t>Sponsor Equity</t>
  </si>
  <si>
    <t>Total Sources</t>
  </si>
  <si>
    <t xml:space="preserve">Total Uses </t>
  </si>
  <si>
    <t>Financials</t>
  </si>
  <si>
    <t>Operating Model</t>
  </si>
  <si>
    <t>Year 0</t>
  </si>
  <si>
    <t>Year 1</t>
  </si>
  <si>
    <t>Year 2</t>
  </si>
  <si>
    <t>Year 3</t>
  </si>
  <si>
    <t>Year 4</t>
  </si>
  <si>
    <t>Year 5</t>
  </si>
  <si>
    <t xml:space="preserve">   % growth</t>
  </si>
  <si>
    <t xml:space="preserve">EBITDA Margin </t>
  </si>
  <si>
    <t>D&amp;A (4% of revenue)</t>
  </si>
  <si>
    <t>EBIT</t>
  </si>
  <si>
    <t xml:space="preserve">   % sales</t>
  </si>
  <si>
    <t>Interest</t>
  </si>
  <si>
    <t>EBT</t>
  </si>
  <si>
    <t>Taxes</t>
  </si>
  <si>
    <t xml:space="preserve">   % tax rate</t>
  </si>
  <si>
    <t>Net Income</t>
  </si>
  <si>
    <t>Cash flow Items</t>
  </si>
  <si>
    <t>Net Working Capital</t>
  </si>
  <si>
    <t>Change in Net Working Capital</t>
  </si>
  <si>
    <t>CapEx</t>
  </si>
  <si>
    <t xml:space="preserve">CFDAS </t>
  </si>
  <si>
    <t xml:space="preserve"> </t>
  </si>
  <si>
    <t>Levered Cash Flow</t>
  </si>
  <si>
    <t>Change in NWC</t>
  </si>
  <si>
    <t>Debt Schedule</t>
  </si>
  <si>
    <t xml:space="preserve">   Beginning Balance</t>
  </si>
  <si>
    <t xml:space="preserve">   Interest</t>
  </si>
  <si>
    <t xml:space="preserve">   Paydown</t>
  </si>
  <si>
    <t xml:space="preserve">   Ending Balance</t>
  </si>
  <si>
    <t>Sr. Notes</t>
  </si>
  <si>
    <t>EBITDA at Exit</t>
  </si>
  <si>
    <t>Exit Multiple</t>
  </si>
  <si>
    <t>Enterprise Value</t>
  </si>
  <si>
    <t>Net Debt</t>
  </si>
  <si>
    <t>Sponsor Equity Value</t>
  </si>
  <si>
    <t>Sponsor Equity at Entry</t>
  </si>
  <si>
    <t>MOIC</t>
  </si>
  <si>
    <t xml:space="preserve">        Total Leverage(xEBITDA)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</si>
</sst>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_)"/>
    <numFmt numFmtId="165" formatCode="0.0\x_)"/>
    <numFmt numFmtId="166" formatCode="0_);\(0\)"/>
    <numFmt numFmtId="167" formatCode="#,##0_);\(#,##0\);\-_)"/>
    <numFmt numFmtId="168" formatCode="#,##0.0%_);\(#,##0.0%\)"/>
    <numFmt numFmtId="169" formatCode="#,##0.0\x;&quot;NM&quot;_x"/>
    <numFmt numFmtId="170" formatCode="\ #,##0;\ \-#,##0"/>
    <numFmt numFmtId="171" formatCode="0%_)"/>
    <numFmt numFmtId="172" formatCode="#,##0.00_);\(#,##0.00\);\-_)"/>
    <numFmt numFmtId="173" formatCode="0.00%_)"/>
    <numFmt numFmtId="174" formatCode="0.0%"/>
    <numFmt numFmtId="175" formatCode="\ #,##0;\ #,##0"/>
  </numFmts>
  <fonts count="2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7030A0"/>
      <name val="Calibri"/>
      <family val="2"/>
    </font>
    <font>
      <b/>
      <sz val="11"/>
      <color indexed="8"/>
      <name val="Calibri"/>
      <family val="2"/>
    </font>
    <font>
      <i/>
      <sz val="11"/>
      <color theme="1"/>
      <name val="Calibri"/>
      <family val="2"/>
    </font>
    <font>
      <i/>
      <sz val="11"/>
      <color rgb="FF7030A0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</font>
    <font>
      <sz val="11"/>
      <color theme="0"/>
      <name val="Calibri"/>
      <family val="2"/>
    </font>
    <font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11">
    <xf numFmtId="0" fontId="0" fillId="0" borderId="0" xfId="0"/>
    <xf numFmtId="0" fontId="3" fillId="0" borderId="1" xfId="0" applyFont="1" applyBorder="1"/>
    <xf numFmtId="0" fontId="0" fillId="0" borderId="1" xfId="0" applyBorder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centerContinuous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6" fillId="0" borderId="0" xfId="0" applyFont="1"/>
    <xf numFmtId="164" fontId="7" fillId="4" borderId="2" xfId="0" applyNumberFormat="1" applyFont="1" applyFill="1" applyBorder="1"/>
    <xf numFmtId="165" fontId="7" fillId="4" borderId="3" xfId="0" applyNumberFormat="1" applyFont="1" applyFill="1" applyBorder="1"/>
    <xf numFmtId="166" fontId="7" fillId="4" borderId="2" xfId="0" applyNumberFormat="1" applyFont="1" applyFill="1" applyBorder="1"/>
    <xf numFmtId="0" fontId="8" fillId="0" borderId="0" xfId="0" applyFont="1"/>
    <xf numFmtId="167" fontId="9" fillId="0" borderId="0" xfId="0" applyNumberFormat="1" applyFont="1"/>
    <xf numFmtId="168" fontId="7" fillId="0" borderId="0" xfId="0" applyNumberFormat="1" applyFont="1" applyAlignment="1">
      <alignment horizontal="right"/>
    </xf>
    <xf numFmtId="166" fontId="7" fillId="4" borderId="3" xfId="0" applyNumberFormat="1" applyFont="1" applyFill="1" applyBorder="1"/>
    <xf numFmtId="167" fontId="7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7" fontId="10" fillId="0" borderId="0" xfId="0" applyNumberFormat="1" applyFont="1"/>
    <xf numFmtId="168" fontId="0" fillId="0" borderId="0" xfId="0" applyNumberFormat="1"/>
    <xf numFmtId="167" fontId="11" fillId="0" borderId="0" xfId="0" applyNumberFormat="1" applyFont="1"/>
    <xf numFmtId="169" fontId="0" fillId="0" borderId="0" xfId="0" applyNumberFormat="1"/>
    <xf numFmtId="167" fontId="10" fillId="0" borderId="1" xfId="0" applyNumberFormat="1" applyFont="1" applyBorder="1"/>
    <xf numFmtId="167" fontId="12" fillId="0" borderId="0" xfId="0" applyNumberFormat="1" applyFont="1"/>
    <xf numFmtId="0" fontId="10" fillId="0" borderId="0" xfId="0" applyFont="1"/>
    <xf numFmtId="0" fontId="8" fillId="5" borderId="4" xfId="0" applyFont="1" applyFill="1" applyBorder="1"/>
    <xf numFmtId="0" fontId="8" fillId="5" borderId="5" xfId="0" applyFont="1" applyFill="1" applyBorder="1"/>
    <xf numFmtId="167" fontId="12" fillId="5" borderId="5" xfId="0" applyNumberFormat="1" applyFont="1" applyFill="1" applyBorder="1"/>
    <xf numFmtId="165" fontId="8" fillId="5" borderId="5" xfId="0" applyNumberFormat="1" applyFont="1" applyFill="1" applyBorder="1"/>
    <xf numFmtId="168" fontId="8" fillId="5" borderId="6" xfId="0" applyNumberFormat="1" applyFont="1" applyFill="1" applyBorder="1"/>
    <xf numFmtId="167" fontId="11" fillId="0" borderId="7" xfId="0" applyNumberFormat="1" applyFont="1" applyBorder="1"/>
    <xf numFmtId="0" fontId="13" fillId="0" borderId="0" xfId="0" applyFont="1"/>
    <xf numFmtId="0" fontId="0" fillId="0" borderId="7" xfId="0" applyBorder="1"/>
    <xf numFmtId="164" fontId="14" fillId="0" borderId="0" xfId="0" applyNumberFormat="1" applyFont="1"/>
    <xf numFmtId="167" fontId="0" fillId="0" borderId="0" xfId="0" applyNumberFormat="1"/>
    <xf numFmtId="164" fontId="15" fillId="0" borderId="7" xfId="0" applyNumberFormat="1" applyFont="1" applyBorder="1"/>
    <xf numFmtId="167" fontId="16" fillId="0" borderId="7" xfId="0" applyNumberFormat="1" applyFont="1" applyBorder="1"/>
    <xf numFmtId="167" fontId="16" fillId="0" borderId="0" xfId="0" applyNumberFormat="1" applyFont="1"/>
    <xf numFmtId="164" fontId="15" fillId="0" borderId="0" xfId="0" applyNumberFormat="1" applyFont="1"/>
    <xf numFmtId="167" fontId="0" fillId="0" borderId="7" xfId="0" applyNumberFormat="1" applyBorder="1"/>
    <xf numFmtId="164" fontId="14" fillId="0" borderId="7" xfId="0" applyNumberFormat="1" applyFont="1" applyBorder="1"/>
    <xf numFmtId="168" fontId="13" fillId="0" borderId="7" xfId="0" applyNumberFormat="1" applyFont="1" applyBorder="1"/>
    <xf numFmtId="167" fontId="10" fillId="0" borderId="7" xfId="0" applyNumberFormat="1" applyFont="1" applyBorder="1"/>
    <xf numFmtId="0" fontId="0" fillId="0" borderId="8" xfId="0" applyBorder="1"/>
    <xf numFmtId="0" fontId="8" fillId="5" borderId="6" xfId="0" applyFont="1" applyFill="1" applyBorder="1"/>
    <xf numFmtId="167" fontId="8" fillId="5" borderId="5" xfId="0" applyNumberFormat="1" applyFont="1" applyFill="1" applyBorder="1"/>
    <xf numFmtId="167" fontId="8" fillId="5" borderId="6" xfId="0" applyNumberFormat="1" applyFont="1" applyFill="1" applyBorder="1"/>
    <xf numFmtId="167" fontId="0" fillId="0" borderId="1" xfId="0" applyNumberFormat="1" applyBorder="1"/>
    <xf numFmtId="167" fontId="8" fillId="0" borderId="0" xfId="0" applyNumberFormat="1" applyFont="1"/>
    <xf numFmtId="37" fontId="0" fillId="0" borderId="1" xfId="0" applyNumberFormat="1" applyBorder="1"/>
    <xf numFmtId="0" fontId="17" fillId="0" borderId="7" xfId="0" applyFont="1" applyBorder="1"/>
    <xf numFmtId="0" fontId="17" fillId="0" borderId="8" xfId="0" applyFont="1" applyBorder="1"/>
    <xf numFmtId="37" fontId="17" fillId="0" borderId="1" xfId="0" applyNumberFormat="1" applyFont="1" applyBorder="1"/>
    <xf numFmtId="167" fontId="18" fillId="0" borderId="7" xfId="0" applyNumberFormat="1" applyFont="1" applyBorder="1"/>
    <xf numFmtId="0" fontId="2" fillId="5" borderId="9" xfId="0" applyFont="1" applyFill="1" applyBorder="1"/>
    <xf numFmtId="0" fontId="2" fillId="5" borderId="10" xfId="0" applyFont="1" applyFill="1" applyBorder="1"/>
    <xf numFmtId="169" fontId="2" fillId="5" borderId="11" xfId="0" applyNumberFormat="1" applyFont="1" applyFill="1" applyBorder="1"/>
    <xf numFmtId="0" fontId="2" fillId="5" borderId="12" xfId="0" applyFont="1" applyFill="1" applyBorder="1"/>
    <xf numFmtId="0" fontId="2" fillId="5" borderId="1" xfId="0" applyFont="1" applyFill="1" applyBorder="1"/>
    <xf numFmtId="168" fontId="2" fillId="5" borderId="8" xfId="0" applyNumberFormat="1" applyFont="1" applyFill="1" applyBorder="1"/>
    <xf numFmtId="0" fontId="0" fillId="0" borderId="0" xfId="0" applyAlignment="1">
      <alignment horizontal="center"/>
    </xf>
    <xf numFmtId="170" fontId="7" fillId="4" borderId="2" xfId="0" applyNumberFormat="1" applyFont="1" applyFill="1" applyBorder="1"/>
    <xf numFmtId="171" fontId="7" fillId="4" borderId="2" xfId="0" applyNumberFormat="1" applyFont="1" applyFill="1" applyBorder="1"/>
    <xf numFmtId="169" fontId="9" fillId="0" borderId="0" xfId="0" applyNumberFormat="1" applyFont="1"/>
    <xf numFmtId="168" fontId="8" fillId="0" borderId="10" xfId="0" applyNumberFormat="1" applyFont="1" applyBorder="1"/>
    <xf numFmtId="166" fontId="0" fillId="0" borderId="7" xfId="0" applyNumberFormat="1" applyBorder="1"/>
    <xf numFmtId="1" fontId="0" fillId="0" borderId="0" xfId="0" applyNumberFormat="1"/>
    <xf numFmtId="167" fontId="17" fillId="4" borderId="0" xfId="0" applyNumberFormat="1" applyFont="1" applyFill="1"/>
    <xf numFmtId="170" fontId="16" fillId="0" borderId="7" xfId="1" applyNumberFormat="1" applyFont="1" applyBorder="1"/>
    <xf numFmtId="0" fontId="19" fillId="0" borderId="0" xfId="0" applyFont="1" applyAlignment="1">
      <alignment horizontal="left" vertical="center" wrapText="1"/>
    </xf>
    <xf numFmtId="3" fontId="20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3" fontId="19" fillId="0" borderId="0" xfId="0" applyNumberFormat="1" applyFont="1" applyAlignment="1">
      <alignment horizontal="left" vertical="center" wrapText="1"/>
    </xf>
    <xf numFmtId="10" fontId="19" fillId="0" borderId="0" xfId="0" applyNumberFormat="1" applyFont="1" applyAlignment="1">
      <alignment horizontal="left" vertical="center" wrapText="1"/>
    </xf>
    <xf numFmtId="167" fontId="17" fillId="0" borderId="0" xfId="0" applyNumberFormat="1" applyFont="1"/>
    <xf numFmtId="167" fontId="17" fillId="0" borderId="1" xfId="0" applyNumberFormat="1" applyFont="1" applyBorder="1"/>
    <xf numFmtId="168" fontId="0" fillId="0" borderId="8" xfId="0" applyNumberFormat="1" applyBorder="1"/>
    <xf numFmtId="1" fontId="16" fillId="0" borderId="0" xfId="1" applyNumberFormat="1" applyFont="1"/>
    <xf numFmtId="0" fontId="21" fillId="0" borderId="0" xfId="0" applyFont="1" applyAlignment="1">
      <alignment horizontal="left" vertical="center" wrapText="1"/>
    </xf>
    <xf numFmtId="165" fontId="16" fillId="0" borderId="1" xfId="0" applyNumberFormat="1" applyFont="1" applyBorder="1"/>
    <xf numFmtId="165" fontId="22" fillId="0" borderId="0" xfId="0" applyNumberFormat="1" applyFont="1"/>
    <xf numFmtId="168" fontId="22" fillId="0" borderId="0" xfId="0" applyNumberFormat="1" applyFont="1"/>
    <xf numFmtId="172" fontId="16" fillId="0" borderId="0" xfId="0" applyNumberFormat="1" applyFont="1"/>
    <xf numFmtId="172" fontId="12" fillId="5" borderId="5" xfId="0" applyNumberFormat="1" applyFont="1" applyFill="1" applyBorder="1"/>
    <xf numFmtId="173" fontId="7" fillId="4" borderId="2" xfId="0" applyNumberFormat="1" applyFont="1" applyFill="1" applyBorder="1"/>
    <xf numFmtId="172" fontId="10" fillId="0" borderId="0" xfId="0" applyNumberFormat="1" applyFont="1"/>
    <xf numFmtId="174" fontId="17" fillId="0" borderId="0" xfId="1" applyNumberFormat="1" applyFont="1"/>
    <xf numFmtId="164" fontId="17" fillId="0" borderId="0" xfId="0" applyNumberFormat="1" applyFont="1"/>
    <xf numFmtId="2" fontId="17" fillId="0" borderId="0" xfId="0" applyNumberFormat="1" applyFont="1"/>
    <xf numFmtId="10" fontId="23" fillId="0" borderId="7" xfId="1" applyNumberFormat="1" applyFont="1" applyBorder="1"/>
    <xf numFmtId="175" fontId="0" fillId="0" borderId="0" xfId="0" applyNumberFormat="1"/>
    <xf numFmtId="2" fontId="0" fillId="0" borderId="0" xfId="0" applyNumberFormat="1"/>
    <xf numFmtId="0" fontId="24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37" fontId="25" fillId="0" borderId="0" xfId="0" applyNumberFormat="1" applyFont="1"/>
    <xf numFmtId="169" fontId="25" fillId="0" borderId="0" xfId="0" applyNumberFormat="1" applyFont="1"/>
    <xf numFmtId="169" fontId="25" fillId="0" borderId="1" xfId="0" applyNumberFormat="1" applyFont="1" applyBorder="1"/>
    <xf numFmtId="167" fontId="23" fillId="0" borderId="7" xfId="0" applyNumberFormat="1" applyFont="1" applyBorder="1"/>
    <xf numFmtId="164" fontId="26" fillId="0" borderId="0" xfId="0" applyNumberFormat="1" applyFont="1"/>
    <xf numFmtId="0" fontId="0" fillId="0" borderId="13" xfId="0" applyBorder="1" applyAlignment="1">
      <alignment horizontal="center"/>
    </xf>
    <xf numFmtId="10" fontId="1" fillId="0" borderId="13" xfId="1" applyNumberFormat="1" applyBorder="1"/>
    <xf numFmtId="168" fontId="0" fillId="6" borderId="13" xfId="0" applyNumberForma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9" fontId="1" fillId="0" borderId="13" xfId="1" applyBorder="1" applyAlignment="1">
      <alignment horizontal="center" vertical="top"/>
    </xf>
    <xf numFmtId="168" fontId="0" fillId="6" borderId="13" xfId="0" applyNumberFormat="1" applyFill="1" applyBorder="1" applyAlignment="1">
      <alignment horizontal="center" vertical="top"/>
    </xf>
    <xf numFmtId="0" fontId="2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169" fontId="0" fillId="0" borderId="13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4546A"/>
      <color rgb="FF2596BE"/>
      <color rgb="FF00336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I127"/>
  <sheetViews>
    <sheetView showGridLines="0" tabSelected="1" zoomScale="71" zoomScaleNormal="79" workbookViewId="0">
      <selection activeCell="J121" sqref="J121"/>
    </sheetView>
  </sheetViews>
  <sheetFormatPr defaultRowHeight="14.4" x14ac:dyDescent="0.3"/>
  <cols>
    <col min="1" max="1" width="3.6640625" customWidth="1"/>
    <col min="5" max="5" width="9.33203125" bestFit="1" customWidth="1"/>
    <col min="10" max="10" width="13.44140625" bestFit="1" customWidth="1"/>
    <col min="11" max="15" width="12.21875" bestFit="1" customWidth="1"/>
    <col min="19" max="19" width="9" customWidth="1"/>
    <col min="24" max="24" width="20.5546875" customWidth="1"/>
    <col min="25" max="25" width="29.44140625" customWidth="1"/>
    <col min="26" max="26" width="19.44140625" customWidth="1"/>
    <col min="27" max="27" width="18.77734375" customWidth="1"/>
  </cols>
  <sheetData>
    <row r="1" spans="1:19" x14ac:dyDescent="0.3">
      <c r="Q1" s="108" t="s">
        <v>81</v>
      </c>
      <c r="R1" s="109"/>
      <c r="S1" s="109"/>
    </row>
    <row r="2" spans="1:19" ht="21" customHeight="1" x14ac:dyDescent="0.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110">
        <f>6.6</f>
        <v>6.6</v>
      </c>
      <c r="R2" s="110"/>
      <c r="S2" s="110"/>
    </row>
    <row r="4" spans="1:19" x14ac:dyDescent="0.3">
      <c r="A4" s="62" t="s">
        <v>1</v>
      </c>
      <c r="B4" s="3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9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9" x14ac:dyDescent="0.3">
      <c r="B6" s="7" t="s">
        <v>3</v>
      </c>
      <c r="C6" s="7"/>
      <c r="D6" s="7"/>
      <c r="E6" s="7"/>
      <c r="G6" s="7" t="s">
        <v>4</v>
      </c>
      <c r="H6" s="7"/>
      <c r="I6" s="7"/>
      <c r="J6" s="8"/>
      <c r="L6" s="7" t="s">
        <v>5</v>
      </c>
      <c r="M6" s="7"/>
      <c r="N6" s="8" t="s">
        <v>6</v>
      </c>
      <c r="O6" s="8" t="s">
        <v>7</v>
      </c>
    </row>
    <row r="7" spans="1:19" x14ac:dyDescent="0.3">
      <c r="B7" t="s">
        <v>8</v>
      </c>
      <c r="E7" s="97">
        <v>6540</v>
      </c>
      <c r="G7" s="9" t="s">
        <v>9</v>
      </c>
      <c r="L7" t="s">
        <v>10</v>
      </c>
      <c r="N7" s="63">
        <f>4.7/6.6*Q2*E7</f>
        <v>30738</v>
      </c>
      <c r="O7" s="64">
        <v>8.5000000000000006E-2</v>
      </c>
    </row>
    <row r="8" spans="1:19" x14ac:dyDescent="0.3">
      <c r="B8" s="2" t="s">
        <v>11</v>
      </c>
      <c r="C8" s="2"/>
      <c r="D8" s="2"/>
      <c r="E8" s="11">
        <v>20</v>
      </c>
      <c r="G8" t="s">
        <v>12</v>
      </c>
      <c r="J8" s="63">
        <v>22268.9</v>
      </c>
      <c r="L8" t="s">
        <v>13</v>
      </c>
      <c r="N8" s="63">
        <f>1.9/6.6*Q2*E7</f>
        <v>12426</v>
      </c>
      <c r="O8" s="64">
        <v>9.5000000000000001E-2</v>
      </c>
    </row>
    <row r="9" spans="1:19" x14ac:dyDescent="0.3">
      <c r="B9" s="13" t="s">
        <v>14</v>
      </c>
      <c r="C9" s="13"/>
      <c r="D9" s="13"/>
      <c r="E9" s="14">
        <f>E7*E8</f>
        <v>130800</v>
      </c>
      <c r="G9" t="s">
        <v>15</v>
      </c>
      <c r="J9" s="63">
        <f>E7</f>
        <v>6540</v>
      </c>
      <c r="K9" s="15"/>
    </row>
    <row r="10" spans="1:19" x14ac:dyDescent="0.3">
      <c r="B10" s="2" t="s">
        <v>16</v>
      </c>
      <c r="C10" s="2"/>
      <c r="D10" s="2"/>
      <c r="E10" s="16">
        <v>0</v>
      </c>
      <c r="G10" t="s">
        <v>17</v>
      </c>
      <c r="J10" s="63">
        <v>1110</v>
      </c>
      <c r="L10" s="7" t="s">
        <v>18</v>
      </c>
      <c r="M10" s="7"/>
      <c r="N10" s="8"/>
      <c r="O10" s="8"/>
    </row>
    <row r="11" spans="1:19" x14ac:dyDescent="0.3">
      <c r="B11" s="13" t="s">
        <v>19</v>
      </c>
      <c r="C11" s="13"/>
      <c r="D11" s="13"/>
      <c r="E11" s="14">
        <f>E9-E10</f>
        <v>130800</v>
      </c>
      <c r="G11" t="s">
        <v>20</v>
      </c>
      <c r="J11" s="63">
        <v>2700</v>
      </c>
      <c r="L11" t="s">
        <v>21</v>
      </c>
      <c r="O11" s="83">
        <f>O111</f>
        <v>0.27387232758248015</v>
      </c>
    </row>
    <row r="12" spans="1:19" x14ac:dyDescent="0.3">
      <c r="G12" t="s">
        <v>22</v>
      </c>
      <c r="J12" s="63">
        <f>0.22*J8</f>
        <v>4899.1580000000004</v>
      </c>
    </row>
    <row r="13" spans="1:19" x14ac:dyDescent="0.3">
      <c r="B13" s="13" t="s">
        <v>23</v>
      </c>
      <c r="E13" s="12">
        <f>E11*3%</f>
        <v>3924</v>
      </c>
    </row>
    <row r="14" spans="1:19" x14ac:dyDescent="0.3">
      <c r="E14" s="17"/>
      <c r="G14" s="9" t="s">
        <v>24</v>
      </c>
    </row>
    <row r="15" spans="1:19" x14ac:dyDescent="0.3">
      <c r="B15" s="7" t="s">
        <v>25</v>
      </c>
      <c r="C15" s="7"/>
      <c r="D15" s="7"/>
      <c r="E15" s="7"/>
      <c r="G15" t="s">
        <v>26</v>
      </c>
      <c r="J15" s="64">
        <v>0.2</v>
      </c>
    </row>
    <row r="16" spans="1:19" x14ac:dyDescent="0.3">
      <c r="B16" t="s">
        <v>11</v>
      </c>
      <c r="E16" s="82">
        <f>20</f>
        <v>20</v>
      </c>
      <c r="G16" t="s">
        <v>27</v>
      </c>
      <c r="J16" s="10">
        <v>0.35</v>
      </c>
      <c r="K16" s="33" t="s">
        <v>28</v>
      </c>
    </row>
    <row r="17" spans="1:15" x14ac:dyDescent="0.3">
      <c r="G17" t="s">
        <v>29</v>
      </c>
      <c r="J17" s="86">
        <v>0.25169999999999998</v>
      </c>
    </row>
    <row r="18" spans="1:15" x14ac:dyDescent="0.3">
      <c r="J18" s="18"/>
    </row>
    <row r="19" spans="1:15" x14ac:dyDescent="0.3">
      <c r="A19" s="62" t="s">
        <v>1</v>
      </c>
      <c r="B19" s="3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J20" s="18"/>
    </row>
    <row r="21" spans="1:15" x14ac:dyDescent="0.3">
      <c r="B21" s="7" t="s">
        <v>31</v>
      </c>
      <c r="C21" s="7"/>
      <c r="D21" s="7"/>
      <c r="E21" s="7"/>
      <c r="F21" s="7"/>
      <c r="G21" s="7"/>
      <c r="J21" s="7" t="s">
        <v>32</v>
      </c>
      <c r="K21" s="7"/>
      <c r="L21" s="7"/>
      <c r="M21" s="7"/>
      <c r="N21" s="7"/>
      <c r="O21" s="7"/>
    </row>
    <row r="22" spans="1:15" x14ac:dyDescent="0.3">
      <c r="E22" s="19" t="s">
        <v>33</v>
      </c>
      <c r="F22" s="19" t="s">
        <v>34</v>
      </c>
      <c r="G22" s="19" t="s">
        <v>35</v>
      </c>
      <c r="M22" s="19" t="s">
        <v>33</v>
      </c>
      <c r="N22" s="19" t="s">
        <v>34</v>
      </c>
      <c r="O22" s="19" t="s">
        <v>35</v>
      </c>
    </row>
    <row r="23" spans="1:15" x14ac:dyDescent="0.3">
      <c r="B23" t="str">
        <f>L7</f>
        <v>Bank Debt</v>
      </c>
      <c r="E23" s="20">
        <f>N7</f>
        <v>30738</v>
      </c>
      <c r="F23" s="98">
        <f>E23/$J$9</f>
        <v>4.7</v>
      </c>
      <c r="G23" s="21">
        <f>E23/E29</f>
        <v>0.22815533980582525</v>
      </c>
      <c r="J23" t="s">
        <v>36</v>
      </c>
      <c r="M23" s="39">
        <f>E11</f>
        <v>130800</v>
      </c>
      <c r="N23" s="23">
        <f>M23/$J$9</f>
        <v>20</v>
      </c>
      <c r="O23" s="21">
        <f>M23/$M$29</f>
        <v>0.970873786407767</v>
      </c>
    </row>
    <row r="24" spans="1:15" x14ac:dyDescent="0.3">
      <c r="B24" s="2" t="str">
        <f>L8</f>
        <v>Senior Notes</v>
      </c>
      <c r="C24" s="24"/>
      <c r="D24" s="24"/>
      <c r="E24" s="24">
        <f>N8</f>
        <v>12426</v>
      </c>
      <c r="F24" s="99">
        <f>E24/$J$9</f>
        <v>1.9</v>
      </c>
      <c r="G24" s="21">
        <f>E24/E29</f>
        <v>9.2233009708737865E-2</v>
      </c>
      <c r="J24" t="s">
        <v>37</v>
      </c>
      <c r="M24" s="39">
        <f>E10</f>
        <v>0</v>
      </c>
      <c r="N24" s="23">
        <f>M24/$J$9</f>
        <v>0</v>
      </c>
      <c r="O24" s="21">
        <f>M24/$M$29</f>
        <v>0</v>
      </c>
    </row>
    <row r="25" spans="1:15" x14ac:dyDescent="0.3">
      <c r="B25" s="13" t="s">
        <v>38</v>
      </c>
      <c r="C25" s="13"/>
      <c r="D25" s="13"/>
      <c r="E25" s="25">
        <f>E23+E24</f>
        <v>43164</v>
      </c>
      <c r="F25" s="65">
        <f>SUM(F23,F24)</f>
        <v>6.6</v>
      </c>
      <c r="G25" s="66">
        <f>SUM(G23,G24)</f>
        <v>0.32038834951456313</v>
      </c>
      <c r="M25" s="20"/>
      <c r="O25" s="21"/>
    </row>
    <row r="26" spans="1:15" x14ac:dyDescent="0.3">
      <c r="J26" t="s">
        <v>23</v>
      </c>
      <c r="M26" s="84">
        <f>E13</f>
        <v>3924</v>
      </c>
      <c r="N26" s="23">
        <f>M26/J9</f>
        <v>0.6</v>
      </c>
      <c r="O26" s="21">
        <f>M26/$M$29</f>
        <v>2.9126213592233011E-2</v>
      </c>
    </row>
    <row r="27" spans="1:15" x14ac:dyDescent="0.3">
      <c r="B27" t="s">
        <v>39</v>
      </c>
      <c r="E27" s="20">
        <f>M29-E25</f>
        <v>91560</v>
      </c>
      <c r="F27" s="23">
        <f>E27/J9</f>
        <v>14</v>
      </c>
      <c r="G27" s="21">
        <f>E27/E29</f>
        <v>0.67961165048543692</v>
      </c>
      <c r="M27" s="26"/>
    </row>
    <row r="28" spans="1:15" x14ac:dyDescent="0.3">
      <c r="E28" s="20"/>
      <c r="F28" s="23"/>
      <c r="G28" s="21"/>
      <c r="M28" s="20"/>
      <c r="N28" s="23"/>
      <c r="O28" s="21"/>
    </row>
    <row r="29" spans="1:15" x14ac:dyDescent="0.3">
      <c r="B29" s="27" t="s">
        <v>40</v>
      </c>
      <c r="C29" s="28"/>
      <c r="D29" s="28"/>
      <c r="E29" s="29">
        <f>E25+E27</f>
        <v>134724</v>
      </c>
      <c r="F29" s="30">
        <f>F25+F27</f>
        <v>20.6</v>
      </c>
      <c r="G29" s="31">
        <f>SUM(G25+G27)</f>
        <v>1</v>
      </c>
      <c r="J29" s="27" t="s">
        <v>41</v>
      </c>
      <c r="K29" s="28"/>
      <c r="L29" s="28"/>
      <c r="M29" s="85">
        <f>M23+M24+M26</f>
        <v>134724</v>
      </c>
      <c r="N29" s="30">
        <f>N23+N24+N26</f>
        <v>20.6</v>
      </c>
      <c r="O29" s="31">
        <f>O23+O24+O26</f>
        <v>1</v>
      </c>
    </row>
    <row r="30" spans="1:15" x14ac:dyDescent="0.3">
      <c r="E30" s="20"/>
      <c r="F30" s="23"/>
      <c r="G30" s="21"/>
      <c r="L30" s="20"/>
      <c r="M30" s="23"/>
      <c r="N30" s="21"/>
    </row>
    <row r="32" spans="1:15" x14ac:dyDescent="0.3">
      <c r="A32" s="62" t="s">
        <v>1</v>
      </c>
      <c r="B32" s="3" t="s">
        <v>42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4" spans="2:35" x14ac:dyDescent="0.3">
      <c r="B34" s="7" t="s">
        <v>43</v>
      </c>
      <c r="C34" s="7"/>
      <c r="D34" s="7"/>
      <c r="E34" s="7"/>
      <c r="F34" s="7"/>
      <c r="G34" s="7"/>
      <c r="H34" s="7"/>
      <c r="I34" s="7"/>
      <c r="J34" s="8" t="s">
        <v>44</v>
      </c>
      <c r="K34" s="8" t="s">
        <v>45</v>
      </c>
      <c r="L34" s="8" t="s">
        <v>46</v>
      </c>
      <c r="M34" s="8" t="s">
        <v>47</v>
      </c>
      <c r="N34" s="8" t="s">
        <v>48</v>
      </c>
      <c r="O34" s="8" t="s">
        <v>49</v>
      </c>
    </row>
    <row r="35" spans="2:35" s="94" customFormat="1" x14ac:dyDescent="0.3">
      <c r="B35" s="95"/>
      <c r="C35" s="95"/>
      <c r="D35" s="95"/>
      <c r="E35" s="95"/>
      <c r="F35" s="95"/>
      <c r="G35" s="95"/>
      <c r="H35" s="95"/>
      <c r="I35" s="95"/>
      <c r="J35" s="96"/>
      <c r="K35" s="96"/>
      <c r="L35" s="96"/>
      <c r="M35" s="96"/>
      <c r="N35" s="96"/>
      <c r="O35" s="96"/>
    </row>
    <row r="36" spans="2:35" x14ac:dyDescent="0.3">
      <c r="B36" t="s">
        <v>12</v>
      </c>
      <c r="J36" s="38">
        <f>J8</f>
        <v>22268.9</v>
      </c>
      <c r="K36" s="87">
        <f>J8*(1+J15)</f>
        <v>26722.68</v>
      </c>
      <c r="L36" s="87">
        <f>K36*(1+J15)</f>
        <v>32067.216</v>
      </c>
      <c r="M36" s="87">
        <f>L36*(1+J15)</f>
        <v>38480.659200000002</v>
      </c>
      <c r="N36" s="87">
        <f>M36*(1+J15)</f>
        <v>46176.791040000004</v>
      </c>
      <c r="O36" s="87">
        <f>N36*(1+J15)</f>
        <v>55412.149248000002</v>
      </c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</row>
    <row r="37" spans="2:35" x14ac:dyDescent="0.3">
      <c r="B37" s="33" t="s">
        <v>50</v>
      </c>
      <c r="J37" s="34"/>
      <c r="K37" s="40">
        <f>(K36-J36)/J36</f>
        <v>0.19999999999999993</v>
      </c>
      <c r="L37" s="40">
        <f>(L36-K36)/K36</f>
        <v>0.2</v>
      </c>
      <c r="M37" s="40">
        <f>(M36-L36)/L36</f>
        <v>0.20000000000000004</v>
      </c>
      <c r="N37" s="40">
        <f>(N36-M36)/M36</f>
        <v>0.20000000000000004</v>
      </c>
      <c r="O37" s="40">
        <f>(O36-N36)/N36</f>
        <v>0.19999999999999993</v>
      </c>
      <c r="V37" s="71"/>
      <c r="W37" s="72"/>
      <c r="X37" s="73"/>
      <c r="Y37" s="72"/>
      <c r="Z37" s="73"/>
      <c r="AA37" s="72"/>
      <c r="AB37" s="73"/>
      <c r="AC37" s="73"/>
      <c r="AD37" s="72"/>
      <c r="AE37" s="73"/>
      <c r="AF37" s="72"/>
      <c r="AG37" s="73"/>
      <c r="AH37" s="74"/>
      <c r="AI37" s="73"/>
    </row>
    <row r="38" spans="2:35" x14ac:dyDescent="0.3">
      <c r="B38" s="33"/>
      <c r="J38" s="34"/>
      <c r="K38" s="40"/>
      <c r="L38" s="40"/>
      <c r="M38" s="40"/>
      <c r="N38" s="40"/>
      <c r="O38" s="40"/>
      <c r="V38" s="71"/>
      <c r="W38" s="72"/>
      <c r="X38" s="73"/>
      <c r="Y38" s="72"/>
      <c r="Z38" s="73"/>
      <c r="AA38" s="72"/>
      <c r="AB38" s="73"/>
      <c r="AC38" s="73"/>
      <c r="AD38" s="72"/>
      <c r="AE38" s="73"/>
      <c r="AF38" s="72"/>
      <c r="AG38" s="73"/>
      <c r="AH38" s="74"/>
      <c r="AI38" s="73"/>
    </row>
    <row r="39" spans="2:35" x14ac:dyDescent="0.3">
      <c r="B39" t="s">
        <v>51</v>
      </c>
      <c r="J39" s="91">
        <v>0.29399999999999998</v>
      </c>
      <c r="K39" s="88">
        <f>J39+0.5%</f>
        <v>0.29899999999999999</v>
      </c>
      <c r="L39" s="89">
        <f>K39+0.5%</f>
        <v>0.30399999999999999</v>
      </c>
      <c r="M39" s="89">
        <f>L39+0.5%</f>
        <v>0.309</v>
      </c>
      <c r="N39" s="89">
        <f>M39+0.5%</f>
        <v>0.314</v>
      </c>
      <c r="O39" s="89">
        <f>N39+0.5%</f>
        <v>0.31900000000000001</v>
      </c>
      <c r="V39" s="71"/>
      <c r="W39" s="72"/>
      <c r="X39" s="73"/>
      <c r="Y39" s="72"/>
      <c r="Z39" s="73"/>
      <c r="AA39" s="72"/>
      <c r="AB39" s="73"/>
      <c r="AC39" s="73"/>
      <c r="AD39" s="72"/>
      <c r="AE39" s="73"/>
      <c r="AF39" s="72"/>
      <c r="AG39" s="73"/>
      <c r="AH39" s="74"/>
      <c r="AI39" s="73"/>
    </row>
    <row r="40" spans="2:35" x14ac:dyDescent="0.3">
      <c r="J40" s="67"/>
      <c r="K40" s="68"/>
      <c r="L40" s="68"/>
      <c r="M40" s="68"/>
      <c r="N40" s="68"/>
      <c r="O40" s="68"/>
      <c r="V40" s="71"/>
      <c r="W40" s="74"/>
      <c r="X40" s="75"/>
      <c r="Y40" s="74"/>
      <c r="Z40" s="75"/>
      <c r="AA40" s="74"/>
      <c r="AB40" s="75"/>
      <c r="AC40" s="74"/>
      <c r="AD40" s="74"/>
      <c r="AE40" s="75"/>
      <c r="AF40" s="71"/>
      <c r="AG40" s="75"/>
      <c r="AH40" s="74"/>
      <c r="AI40" s="75"/>
    </row>
    <row r="41" spans="2:35" x14ac:dyDescent="0.3">
      <c r="B41" s="36" t="s">
        <v>15</v>
      </c>
      <c r="J41" s="70">
        <f>J9</f>
        <v>6540</v>
      </c>
      <c r="K41" s="20">
        <f>K36*K39</f>
        <v>7990.0813199999993</v>
      </c>
      <c r="L41" s="20">
        <f>L36*L39</f>
        <v>9748.4336640000001</v>
      </c>
      <c r="M41" s="20">
        <f>M36*M39</f>
        <v>11890.523692800001</v>
      </c>
      <c r="N41" s="20">
        <f>N36*N39</f>
        <v>14499.512386560002</v>
      </c>
      <c r="O41" s="20">
        <f>O36*O39</f>
        <v>17676.475610112</v>
      </c>
      <c r="V41" s="71"/>
      <c r="W41" s="74"/>
      <c r="X41" s="75"/>
      <c r="Y41" s="74"/>
      <c r="Z41" s="75"/>
      <c r="AA41" s="74"/>
      <c r="AB41" s="75"/>
      <c r="AC41" s="74"/>
      <c r="AD41" s="74"/>
      <c r="AE41" s="75"/>
      <c r="AF41" s="71"/>
      <c r="AG41" s="75"/>
      <c r="AH41" s="74"/>
      <c r="AI41" s="75"/>
    </row>
    <row r="42" spans="2:35" x14ac:dyDescent="0.3">
      <c r="B42" s="36"/>
      <c r="J42" s="70"/>
      <c r="K42" s="20"/>
      <c r="L42" s="20"/>
      <c r="M42" s="20"/>
      <c r="N42" s="20"/>
      <c r="O42" s="20"/>
      <c r="V42" s="71"/>
      <c r="W42" s="74"/>
      <c r="X42" s="75"/>
      <c r="Y42" s="74"/>
      <c r="Z42" s="75"/>
      <c r="AA42" s="74"/>
      <c r="AB42" s="75"/>
      <c r="AC42" s="74"/>
      <c r="AD42" s="74"/>
      <c r="AE42" s="75"/>
      <c r="AF42" s="71"/>
      <c r="AG42" s="75"/>
      <c r="AH42" s="74"/>
      <c r="AI42" s="75"/>
    </row>
    <row r="43" spans="2:35" x14ac:dyDescent="0.3">
      <c r="B43" s="36" t="s">
        <v>52</v>
      </c>
      <c r="J43" s="70">
        <f>J10</f>
        <v>1110</v>
      </c>
      <c r="K43" s="20">
        <f>K36*4%</f>
        <v>1068.9072000000001</v>
      </c>
      <c r="L43" s="20">
        <f>L36*4%</f>
        <v>1282.6886400000001</v>
      </c>
      <c r="M43" s="20">
        <f>M36*4%</f>
        <v>1539.2263680000001</v>
      </c>
      <c r="N43" s="20">
        <f>N36*4%</f>
        <v>1847.0716416000002</v>
      </c>
      <c r="O43" s="20">
        <f>O36*4%</f>
        <v>2216.4859699200001</v>
      </c>
      <c r="V43" s="71"/>
      <c r="W43" s="74"/>
      <c r="X43" s="75"/>
      <c r="Y43" s="74"/>
      <c r="Z43" s="75"/>
      <c r="AA43" s="74"/>
      <c r="AB43" s="75"/>
      <c r="AC43" s="74"/>
      <c r="AD43" s="74"/>
      <c r="AE43" s="75"/>
      <c r="AF43" s="71"/>
      <c r="AG43" s="75"/>
      <c r="AH43" s="74"/>
      <c r="AI43" s="75"/>
    </row>
    <row r="44" spans="2:35" x14ac:dyDescent="0.3">
      <c r="J44" s="34"/>
      <c r="V44" s="71"/>
      <c r="W44" s="74"/>
      <c r="X44" s="75"/>
      <c r="Y44" s="74"/>
      <c r="Z44" s="75"/>
      <c r="AA44" s="74"/>
      <c r="AB44" s="75"/>
      <c r="AC44" s="74"/>
      <c r="AD44" s="74"/>
      <c r="AE44" s="75"/>
      <c r="AF44" s="74"/>
      <c r="AG44" s="75"/>
      <c r="AH44" s="74"/>
      <c r="AI44" s="75"/>
    </row>
    <row r="45" spans="2:35" x14ac:dyDescent="0.3">
      <c r="B45" t="s">
        <v>53</v>
      </c>
      <c r="J45" s="38">
        <f t="shared" ref="J45:O45" si="0">J41-J43</f>
        <v>5430</v>
      </c>
      <c r="K45" s="39">
        <f t="shared" si="0"/>
        <v>6921.1741199999997</v>
      </c>
      <c r="L45" s="39">
        <f t="shared" si="0"/>
        <v>8465.7450239999998</v>
      </c>
      <c r="M45" s="39">
        <f t="shared" si="0"/>
        <v>10351.297324800002</v>
      </c>
      <c r="N45" s="39">
        <f t="shared" si="0"/>
        <v>12652.440744960002</v>
      </c>
      <c r="O45" s="39">
        <f t="shared" si="0"/>
        <v>15459.989640192</v>
      </c>
      <c r="V45" s="71"/>
      <c r="W45" s="74"/>
      <c r="X45" s="75"/>
      <c r="Y45" s="74"/>
      <c r="Z45" s="75"/>
      <c r="AA45" s="74"/>
      <c r="AB45" s="75"/>
      <c r="AC45" s="74"/>
      <c r="AD45" s="74"/>
      <c r="AE45" s="75"/>
      <c r="AF45" s="74"/>
      <c r="AG45" s="75"/>
      <c r="AH45" s="74"/>
      <c r="AI45" s="75"/>
    </row>
    <row r="46" spans="2:35" x14ac:dyDescent="0.3">
      <c r="B46" s="33" t="s">
        <v>54</v>
      </c>
      <c r="J46" s="37">
        <f t="shared" ref="J46:O46" si="1">J45/J36</f>
        <v>0.24383781866190066</v>
      </c>
      <c r="K46" s="40">
        <f t="shared" si="1"/>
        <v>0.25900000000000001</v>
      </c>
      <c r="L46" s="40">
        <f t="shared" si="1"/>
        <v>0.26400000000000001</v>
      </c>
      <c r="M46" s="40">
        <f t="shared" si="1"/>
        <v>0.26900000000000002</v>
      </c>
      <c r="N46" s="40">
        <f t="shared" si="1"/>
        <v>0.27400000000000002</v>
      </c>
      <c r="O46" s="40">
        <f t="shared" si="1"/>
        <v>0.27899999999999997</v>
      </c>
    </row>
    <row r="47" spans="2:35" x14ac:dyDescent="0.3">
      <c r="B47" s="33"/>
      <c r="J47" s="37"/>
      <c r="K47" s="40"/>
      <c r="L47" s="40"/>
      <c r="M47" s="40"/>
      <c r="N47" s="40"/>
      <c r="O47" s="40"/>
    </row>
    <row r="48" spans="2:35" x14ac:dyDescent="0.3">
      <c r="B48" t="s">
        <v>55</v>
      </c>
      <c r="J48" s="34"/>
      <c r="K48" s="69">
        <f>K96</f>
        <v>3793.2</v>
      </c>
      <c r="L48" s="69">
        <f>L96</f>
        <v>3943.2258335103406</v>
      </c>
      <c r="M48" s="69">
        <f>M96</f>
        <v>4061.3263730346871</v>
      </c>
      <c r="N48" s="69">
        <f>N96</f>
        <v>4133.8128193100683</v>
      </c>
      <c r="O48" s="69">
        <f>O96</f>
        <v>4143.2298650198718</v>
      </c>
    </row>
    <row r="49" spans="2:17" x14ac:dyDescent="0.3">
      <c r="J49" s="32"/>
      <c r="K49" s="36"/>
      <c r="L49" s="36"/>
      <c r="M49" s="36"/>
      <c r="N49" s="36"/>
      <c r="O49" s="36"/>
    </row>
    <row r="50" spans="2:17" x14ac:dyDescent="0.3">
      <c r="B50" t="s">
        <v>56</v>
      </c>
      <c r="J50" s="41"/>
      <c r="K50" s="36">
        <f>K45-K48</f>
        <v>3127.9741199999999</v>
      </c>
      <c r="L50" s="36">
        <f>L45-L48</f>
        <v>4522.5191904896592</v>
      </c>
      <c r="M50" s="36">
        <f>M45-M48</f>
        <v>6289.9709517653146</v>
      </c>
      <c r="N50" s="36">
        <f>N45-N48</f>
        <v>8518.6279256499329</v>
      </c>
      <c r="O50" s="36">
        <f>O45-O48</f>
        <v>11316.759775172128</v>
      </c>
    </row>
    <row r="51" spans="2:17" x14ac:dyDescent="0.3">
      <c r="B51" s="33" t="s">
        <v>54</v>
      </c>
      <c r="J51" s="37"/>
      <c r="K51" s="40">
        <f>K50/K36</f>
        <v>0.11705315933880883</v>
      </c>
      <c r="L51" s="40">
        <f>L50/L36</f>
        <v>0.14103248596603021</v>
      </c>
      <c r="M51" s="40">
        <f>M50/M36</f>
        <v>0.1634579833748096</v>
      </c>
      <c r="N51" s="40">
        <f>N50/N36</f>
        <v>0.18447856019858092</v>
      </c>
      <c r="O51" s="40">
        <f>O50/O36</f>
        <v>0.20422885466007412</v>
      </c>
    </row>
    <row r="52" spans="2:17" x14ac:dyDescent="0.3">
      <c r="J52" s="41"/>
      <c r="K52" s="36"/>
      <c r="L52" s="36"/>
      <c r="M52" s="36"/>
      <c r="N52" s="36"/>
      <c r="O52" s="36"/>
    </row>
    <row r="53" spans="2:17" x14ac:dyDescent="0.3">
      <c r="B53" t="s">
        <v>57</v>
      </c>
      <c r="J53" s="32"/>
      <c r="K53" s="39">
        <f>K45*K54</f>
        <v>1742.0595260039997</v>
      </c>
      <c r="L53" s="39">
        <f>L45*L54</f>
        <v>2130.8280225407998</v>
      </c>
      <c r="M53" s="39">
        <f>M45*M54</f>
        <v>2605.4215366521603</v>
      </c>
      <c r="N53" s="39">
        <f>N45*N54</f>
        <v>3184.6193355064324</v>
      </c>
      <c r="O53" s="39">
        <f>O45*O54</f>
        <v>3891.2793924363259</v>
      </c>
    </row>
    <row r="54" spans="2:17" x14ac:dyDescent="0.3">
      <c r="B54" s="33" t="s">
        <v>58</v>
      </c>
      <c r="J54" s="42"/>
      <c r="K54" s="40">
        <f>J17</f>
        <v>0.25169999999999998</v>
      </c>
      <c r="L54" s="40">
        <f>J17</f>
        <v>0.25169999999999998</v>
      </c>
      <c r="M54" s="40">
        <f>J17</f>
        <v>0.25169999999999998</v>
      </c>
      <c r="N54" s="40">
        <f>J17</f>
        <v>0.25169999999999998</v>
      </c>
      <c r="O54" s="40">
        <f>J17</f>
        <v>0.25169999999999998</v>
      </c>
    </row>
    <row r="55" spans="2:17" x14ac:dyDescent="0.3">
      <c r="B55" s="33"/>
      <c r="J55" s="42"/>
      <c r="K55" s="35"/>
      <c r="L55" s="35"/>
      <c r="M55" s="35"/>
      <c r="N55" s="35"/>
      <c r="O55" s="35"/>
    </row>
    <row r="56" spans="2:17" x14ac:dyDescent="0.3">
      <c r="B56" t="s">
        <v>59</v>
      </c>
      <c r="J56" s="41"/>
      <c r="K56" s="36">
        <f>K50-K53</f>
        <v>1385.9145939960001</v>
      </c>
      <c r="L56" s="36">
        <f>L50-L53</f>
        <v>2391.6911679488594</v>
      </c>
      <c r="M56" s="36">
        <f>M50-M53</f>
        <v>3684.5494151131543</v>
      </c>
      <c r="N56" s="36">
        <f>N50-N53</f>
        <v>5334.0085901435004</v>
      </c>
      <c r="O56" s="36">
        <f>O50-O53</f>
        <v>7425.4803827358019</v>
      </c>
      <c r="P56" s="36"/>
    </row>
    <row r="57" spans="2:17" x14ac:dyDescent="0.3">
      <c r="B57" s="33" t="s">
        <v>54</v>
      </c>
      <c r="J57" s="42"/>
      <c r="K57" s="40">
        <f>K56/K36</f>
        <v>5.1862859338808839E-2</v>
      </c>
      <c r="L57" s="40">
        <f>L56/L36</f>
        <v>7.4583685966030211E-2</v>
      </c>
      <c r="M57" s="40">
        <f>M56/M36</f>
        <v>9.5750683374809603E-2</v>
      </c>
      <c r="N57" s="40">
        <f>N56/N36</f>
        <v>0.11551276019858092</v>
      </c>
      <c r="O57" s="40">
        <f>O56/O36</f>
        <v>0.13400455466007413</v>
      </c>
    </row>
    <row r="58" spans="2:17" x14ac:dyDescent="0.3">
      <c r="B58" s="33"/>
      <c r="J58" s="34"/>
    </row>
    <row r="59" spans="2:17" x14ac:dyDescent="0.3">
      <c r="B59" s="7" t="s">
        <v>60</v>
      </c>
      <c r="C59" s="7"/>
      <c r="D59" s="7"/>
      <c r="E59" s="7"/>
      <c r="F59" s="7"/>
      <c r="G59" s="7"/>
      <c r="H59" s="7"/>
      <c r="I59" s="7"/>
      <c r="J59" s="8" t="s">
        <v>44</v>
      </c>
      <c r="K59" s="8" t="s">
        <v>45</v>
      </c>
      <c r="L59" s="8" t="s">
        <v>46</v>
      </c>
      <c r="M59" s="8" t="s">
        <v>47</v>
      </c>
      <c r="N59" s="8" t="s">
        <v>48</v>
      </c>
      <c r="O59" s="8" t="s">
        <v>49</v>
      </c>
    </row>
    <row r="60" spans="2:17" x14ac:dyDescent="0.3">
      <c r="B60" t="s">
        <v>17</v>
      </c>
      <c r="J60" s="100">
        <f>J10</f>
        <v>1110</v>
      </c>
      <c r="K60" s="36">
        <f>K43</f>
        <v>1068.9072000000001</v>
      </c>
      <c r="L60" s="36">
        <f>L43</f>
        <v>1282.6886400000001</v>
      </c>
      <c r="M60" s="36">
        <f>M43</f>
        <v>1539.2263680000001</v>
      </c>
      <c r="N60" s="36">
        <f>N43</f>
        <v>1847.0716416000002</v>
      </c>
      <c r="O60" s="36">
        <f>O43</f>
        <v>2216.4859699200001</v>
      </c>
    </row>
    <row r="61" spans="2:17" x14ac:dyDescent="0.3">
      <c r="B61" s="33" t="s">
        <v>54</v>
      </c>
      <c r="J61" s="37">
        <f t="shared" ref="J61:O61" si="2">J60/J36</f>
        <v>4.9845299947460356E-2</v>
      </c>
      <c r="K61" s="40">
        <f t="shared" si="2"/>
        <v>0.04</v>
      </c>
      <c r="L61" s="40">
        <f t="shared" si="2"/>
        <v>0.04</v>
      </c>
      <c r="M61" s="40">
        <f t="shared" si="2"/>
        <v>0.04</v>
      </c>
      <c r="N61" s="40">
        <f t="shared" si="2"/>
        <v>0.04</v>
      </c>
      <c r="O61" s="40">
        <f t="shared" si="2"/>
        <v>0.04</v>
      </c>
      <c r="Q61" s="40"/>
    </row>
    <row r="62" spans="2:17" x14ac:dyDescent="0.3">
      <c r="B62" s="33"/>
      <c r="J62" s="34"/>
    </row>
    <row r="63" spans="2:17" x14ac:dyDescent="0.3">
      <c r="B63" t="s">
        <v>61</v>
      </c>
      <c r="J63" s="38">
        <f>J12</f>
        <v>4899.1580000000004</v>
      </c>
      <c r="K63" s="36">
        <f>K64*K36</f>
        <v>5878.9895999999999</v>
      </c>
      <c r="L63" s="36">
        <f>L64*L36</f>
        <v>7054.7875199999999</v>
      </c>
      <c r="M63" s="36">
        <f>M64*M36</f>
        <v>8465.7450239999998</v>
      </c>
      <c r="N63" s="36">
        <f>N64*N36</f>
        <v>10158.894028800001</v>
      </c>
      <c r="O63" s="36">
        <f>O64*O36</f>
        <v>12190.67283456</v>
      </c>
    </row>
    <row r="64" spans="2:17" x14ac:dyDescent="0.3">
      <c r="B64" s="33" t="s">
        <v>54</v>
      </c>
      <c r="J64" s="43"/>
      <c r="K64" s="101">
        <v>0.22</v>
      </c>
      <c r="L64" s="101">
        <v>0.22</v>
      </c>
      <c r="M64" s="101">
        <v>0.22</v>
      </c>
      <c r="N64" s="101">
        <v>0.22</v>
      </c>
      <c r="O64" s="101">
        <v>0.22</v>
      </c>
    </row>
    <row r="65" spans="1:18" x14ac:dyDescent="0.3">
      <c r="B65" t="s">
        <v>62</v>
      </c>
      <c r="J65" s="43"/>
      <c r="K65" s="92">
        <f>K63-J63</f>
        <v>979.83159999999953</v>
      </c>
      <c r="L65" s="36">
        <f>L63-K63</f>
        <v>1175.79792</v>
      </c>
      <c r="M65" s="36">
        <f>M63-L63</f>
        <v>1410.957504</v>
      </c>
      <c r="N65" s="36">
        <f>N63-M63</f>
        <v>1693.1490048000014</v>
      </c>
      <c r="O65" s="36">
        <f>O63-N63</f>
        <v>2031.7788057599992</v>
      </c>
    </row>
    <row r="66" spans="1:18" x14ac:dyDescent="0.3">
      <c r="B66" s="33"/>
      <c r="J66" s="34"/>
      <c r="K66" s="36"/>
      <c r="L66" s="36"/>
      <c r="M66" s="36"/>
      <c r="N66" s="36"/>
      <c r="O66" s="36"/>
    </row>
    <row r="67" spans="1:18" x14ac:dyDescent="0.3">
      <c r="B67" t="s">
        <v>63</v>
      </c>
      <c r="J67" s="44">
        <f>J11</f>
        <v>2700</v>
      </c>
      <c r="K67" s="36">
        <f>K68*K36</f>
        <v>3239.9999999999995</v>
      </c>
      <c r="L67" s="36">
        <f>L68*L36</f>
        <v>3887.9999999999995</v>
      </c>
      <c r="M67" s="36">
        <f>M68*M36</f>
        <v>4665.5999999999995</v>
      </c>
      <c r="N67" s="36">
        <f>N68*N36</f>
        <v>5598.72</v>
      </c>
      <c r="O67" s="36">
        <f>O68*O36</f>
        <v>6718.4639999999999</v>
      </c>
    </row>
    <row r="68" spans="1:18" x14ac:dyDescent="0.3">
      <c r="B68" s="33" t="s">
        <v>54</v>
      </c>
      <c r="J68" s="43">
        <f>J67/J36</f>
        <v>0.12124532419652519</v>
      </c>
      <c r="K68" s="40">
        <f>J68</f>
        <v>0.12124532419652519</v>
      </c>
      <c r="L68" s="40">
        <f>K68</f>
        <v>0.12124532419652519</v>
      </c>
      <c r="M68" s="40">
        <f>L68</f>
        <v>0.12124532419652519</v>
      </c>
      <c r="N68" s="40">
        <f>M68</f>
        <v>0.12124532419652519</v>
      </c>
      <c r="O68" s="40">
        <f>N68</f>
        <v>0.12124532419652519</v>
      </c>
    </row>
    <row r="69" spans="1:18" x14ac:dyDescent="0.3">
      <c r="B69" s="33"/>
      <c r="J69" s="43"/>
      <c r="K69" s="35"/>
      <c r="L69" s="35"/>
      <c r="M69" s="35"/>
      <c r="N69" s="35"/>
      <c r="O69" s="35"/>
    </row>
    <row r="70" spans="1:18" x14ac:dyDescent="0.3">
      <c r="B70" t="s">
        <v>64</v>
      </c>
      <c r="J70" s="43"/>
      <c r="K70" s="90">
        <f>K41-K53-K67-K65</f>
        <v>2028.1901939960003</v>
      </c>
      <c r="L70" s="90">
        <f>L41-L53-L67-L65</f>
        <v>2553.8077214592008</v>
      </c>
      <c r="M70" s="90">
        <f>M41-M53-M67-M65</f>
        <v>3208.5446521478416</v>
      </c>
      <c r="N70" s="90">
        <f>N41-N53-N67-N65</f>
        <v>4023.0240462535667</v>
      </c>
      <c r="O70" s="90">
        <f>O41-O53-O67-O65</f>
        <v>5034.953411915676</v>
      </c>
    </row>
    <row r="71" spans="1:18" x14ac:dyDescent="0.3">
      <c r="C71" s="33"/>
      <c r="J71" s="34"/>
      <c r="K71" t="s">
        <v>65</v>
      </c>
    </row>
    <row r="72" spans="1:18" x14ac:dyDescent="0.3">
      <c r="B72" s="7" t="s">
        <v>66</v>
      </c>
      <c r="C72" s="7"/>
      <c r="D72" s="7"/>
      <c r="E72" s="7"/>
      <c r="F72" s="7"/>
      <c r="G72" s="7"/>
      <c r="H72" s="7"/>
      <c r="I72" s="7"/>
      <c r="J72" s="8" t="s">
        <v>44</v>
      </c>
      <c r="K72" s="8" t="s">
        <v>45</v>
      </c>
      <c r="L72" s="8" t="s">
        <v>46</v>
      </c>
      <c r="M72" s="8" t="s">
        <v>47</v>
      </c>
      <c r="N72" s="8" t="s">
        <v>48</v>
      </c>
      <c r="O72" s="8" t="s">
        <v>49</v>
      </c>
    </row>
    <row r="73" spans="1:18" x14ac:dyDescent="0.3">
      <c r="B73" t="s">
        <v>59</v>
      </c>
      <c r="J73" s="34"/>
      <c r="K73" s="76">
        <f>K56</f>
        <v>1385.9145939960001</v>
      </c>
      <c r="L73" s="76">
        <f>L56</f>
        <v>2391.6911679488594</v>
      </c>
      <c r="M73" s="76">
        <f>M56</f>
        <v>3684.5494151131543</v>
      </c>
      <c r="N73" s="76">
        <f>N56</f>
        <v>5334.0085901435004</v>
      </c>
      <c r="O73" s="76">
        <f>O56</f>
        <v>7425.4803827358019</v>
      </c>
    </row>
    <row r="74" spans="1:18" x14ac:dyDescent="0.3">
      <c r="B74" t="s">
        <v>17</v>
      </c>
      <c r="J74" s="41">
        <f t="shared" ref="J74:O74" si="3">J60</f>
        <v>1110</v>
      </c>
      <c r="K74" s="76">
        <f t="shared" si="3"/>
        <v>1068.9072000000001</v>
      </c>
      <c r="L74" s="76">
        <f t="shared" si="3"/>
        <v>1282.6886400000001</v>
      </c>
      <c r="M74" s="76">
        <f t="shared" si="3"/>
        <v>1539.2263680000001</v>
      </c>
      <c r="N74" s="76">
        <f t="shared" si="3"/>
        <v>1847.0716416000002</v>
      </c>
      <c r="O74" s="76">
        <f t="shared" si="3"/>
        <v>2216.4859699200001</v>
      </c>
    </row>
    <row r="75" spans="1:18" x14ac:dyDescent="0.3">
      <c r="B75" t="s">
        <v>63</v>
      </c>
      <c r="J75" s="41">
        <f t="shared" ref="J75:O75" si="4">J67</f>
        <v>2700</v>
      </c>
      <c r="K75" s="76">
        <f t="shared" si="4"/>
        <v>3239.9999999999995</v>
      </c>
      <c r="L75" s="76">
        <f t="shared" si="4"/>
        <v>3887.9999999999995</v>
      </c>
      <c r="M75" s="76">
        <f t="shared" si="4"/>
        <v>4665.5999999999995</v>
      </c>
      <c r="N75" s="76">
        <f t="shared" si="4"/>
        <v>5598.72</v>
      </c>
      <c r="O75" s="76">
        <f t="shared" si="4"/>
        <v>6718.4639999999999</v>
      </c>
    </row>
    <row r="76" spans="1:18" x14ac:dyDescent="0.3">
      <c r="B76" s="2" t="s">
        <v>67</v>
      </c>
      <c r="C76" s="2"/>
      <c r="D76" s="2"/>
      <c r="E76" s="2"/>
      <c r="F76" s="2"/>
      <c r="G76" s="2"/>
      <c r="H76" s="2"/>
      <c r="I76" s="2"/>
      <c r="J76" s="78"/>
      <c r="K76" s="77">
        <f>K65</f>
        <v>979.83159999999953</v>
      </c>
      <c r="L76" s="77">
        <f>L65</f>
        <v>1175.79792</v>
      </c>
      <c r="M76" s="77">
        <f>M65</f>
        <v>1410.957504</v>
      </c>
      <c r="N76" s="77">
        <f>N65</f>
        <v>1693.1490048000014</v>
      </c>
      <c r="O76" s="77">
        <f>O65</f>
        <v>2031.7788057599992</v>
      </c>
    </row>
    <row r="77" spans="1:18" x14ac:dyDescent="0.3">
      <c r="B77" s="27" t="s">
        <v>66</v>
      </c>
      <c r="C77" s="28"/>
      <c r="D77" s="28"/>
      <c r="E77" s="28"/>
      <c r="F77" s="28"/>
      <c r="G77" s="28"/>
      <c r="H77" s="28"/>
      <c r="I77" s="28"/>
      <c r="J77" s="46"/>
      <c r="K77" s="47">
        <f>K73+K74-K75-K76</f>
        <v>-1765.0098060039986</v>
      </c>
      <c r="L77" s="47">
        <f>L73+L74-L75-L76</f>
        <v>-1389.4181120511398</v>
      </c>
      <c r="M77" s="47">
        <f>M73+M74-M75-M76</f>
        <v>-852.7817208868446</v>
      </c>
      <c r="N77" s="47">
        <f>N73+N74-N75-N76</f>
        <v>-110.78877305650076</v>
      </c>
      <c r="O77" s="47">
        <f>O73+O74-O75-O76</f>
        <v>891.72354689580243</v>
      </c>
    </row>
    <row r="78" spans="1:18" x14ac:dyDescent="0.3">
      <c r="R78" s="93"/>
    </row>
    <row r="79" spans="1:18" x14ac:dyDescent="0.3">
      <c r="A79" s="62" t="s">
        <v>1</v>
      </c>
      <c r="B79" s="3" t="s">
        <v>68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1" spans="2:15" x14ac:dyDescent="0.3">
      <c r="B81" s="7"/>
      <c r="C81" s="7"/>
      <c r="D81" s="7"/>
      <c r="E81" s="7"/>
      <c r="F81" s="7"/>
      <c r="G81" s="7"/>
      <c r="H81" s="7"/>
      <c r="I81" s="7"/>
      <c r="J81" s="8" t="s">
        <v>44</v>
      </c>
      <c r="K81" s="8" t="s">
        <v>45</v>
      </c>
      <c r="L81" s="8" t="s">
        <v>46</v>
      </c>
      <c r="M81" s="8" t="s">
        <v>47</v>
      </c>
      <c r="N81" s="8" t="s">
        <v>48</v>
      </c>
      <c r="O81" s="8" t="s">
        <v>49</v>
      </c>
    </row>
    <row r="82" spans="2:15" x14ac:dyDescent="0.3">
      <c r="B82" s="13" t="s">
        <v>10</v>
      </c>
      <c r="J82" s="34"/>
      <c r="K82" s="36"/>
    </row>
    <row r="83" spans="2:15" x14ac:dyDescent="0.3">
      <c r="B83" t="s">
        <v>69</v>
      </c>
      <c r="D83" s="36"/>
      <c r="E83" s="36"/>
      <c r="F83" s="36"/>
      <c r="G83" s="36"/>
      <c r="H83" s="36"/>
      <c r="J83" s="67"/>
      <c r="K83" s="39">
        <f>J86</f>
        <v>30738</v>
      </c>
      <c r="L83" s="39">
        <f>K86</f>
        <v>32503.009806004</v>
      </c>
      <c r="M83" s="39">
        <f>L86</f>
        <v>33892.427918055138</v>
      </c>
      <c r="N83" s="39">
        <f>M86</f>
        <v>34745.209638941982</v>
      </c>
      <c r="O83" s="39">
        <f>N86</f>
        <v>34855.998411998487</v>
      </c>
    </row>
    <row r="84" spans="2:15" x14ac:dyDescent="0.3">
      <c r="B84" t="s">
        <v>70</v>
      </c>
      <c r="D84" s="36"/>
      <c r="E84" s="36"/>
      <c r="F84" s="36"/>
      <c r="G84" s="36"/>
      <c r="H84" s="36"/>
      <c r="J84" s="34"/>
      <c r="K84" s="79">
        <f>K83*8.5%</f>
        <v>2612.73</v>
      </c>
      <c r="L84" s="39">
        <f>L83*8.5%</f>
        <v>2762.7558335103404</v>
      </c>
      <c r="M84" s="39">
        <f>M83*8.5%</f>
        <v>2880.8563730346868</v>
      </c>
      <c r="N84" s="39">
        <f>N83*8.5%</f>
        <v>2953.3428193100685</v>
      </c>
      <c r="O84" s="39">
        <f>O83*8.5%</f>
        <v>2962.7598650198715</v>
      </c>
    </row>
    <row r="85" spans="2:15" x14ac:dyDescent="0.3">
      <c r="B85" s="2" t="s">
        <v>71</v>
      </c>
      <c r="C85" s="2"/>
      <c r="D85" s="49"/>
      <c r="E85" s="49"/>
      <c r="F85" s="49"/>
      <c r="G85" s="49"/>
      <c r="H85" s="49"/>
      <c r="I85" s="2"/>
      <c r="J85" s="45"/>
      <c r="K85" s="49">
        <f>MIN(K83,K70-K48)</f>
        <v>-1765.0098060039995</v>
      </c>
      <c r="L85" s="49">
        <f>MIN(L83,L70-L48)</f>
        <v>-1389.4181120511398</v>
      </c>
      <c r="M85" s="49">
        <f>MIN(M83,M70-M48)</f>
        <v>-852.78172088684551</v>
      </c>
      <c r="N85" s="49">
        <f>MIN(N83,N70-N48)</f>
        <v>-110.78877305650167</v>
      </c>
      <c r="O85" s="49">
        <f>MIN(O83,O70-O48)</f>
        <v>891.72354689580425</v>
      </c>
    </row>
    <row r="86" spans="2:15" x14ac:dyDescent="0.3">
      <c r="B86" s="13" t="s">
        <v>72</v>
      </c>
      <c r="C86" s="13"/>
      <c r="D86" s="50"/>
      <c r="E86" s="50"/>
      <c r="F86" s="50"/>
      <c r="G86" s="50"/>
      <c r="H86" s="50"/>
      <c r="I86" s="13"/>
      <c r="J86" s="55">
        <f>E23</f>
        <v>30738</v>
      </c>
      <c r="K86" s="50">
        <f>K83-K85</f>
        <v>32503.009806004</v>
      </c>
      <c r="L86" s="50">
        <f>L83-L85</f>
        <v>33892.427918055138</v>
      </c>
      <c r="M86" s="50">
        <f>M83-M85</f>
        <v>34745.209638941982</v>
      </c>
      <c r="N86" s="50">
        <f>N83-N85</f>
        <v>34855.998411998487</v>
      </c>
      <c r="O86" s="50">
        <f>O83-O85</f>
        <v>33964.274865102685</v>
      </c>
    </row>
    <row r="87" spans="2:15" x14ac:dyDescent="0.3">
      <c r="J87" s="34"/>
    </row>
    <row r="88" spans="2:15" x14ac:dyDescent="0.3">
      <c r="B88" s="13" t="s">
        <v>73</v>
      </c>
      <c r="J88" s="34"/>
    </row>
    <row r="89" spans="2:15" x14ac:dyDescent="0.3">
      <c r="B89" t="s">
        <v>69</v>
      </c>
      <c r="D89" s="36"/>
      <c r="E89" s="36"/>
      <c r="F89" s="36"/>
      <c r="G89" s="36"/>
      <c r="H89" s="36"/>
      <c r="J89" s="34"/>
      <c r="K89" s="39">
        <f>J92</f>
        <v>12426</v>
      </c>
      <c r="L89" s="39">
        <f>K92</f>
        <v>12426</v>
      </c>
      <c r="M89" s="39">
        <f>L92</f>
        <v>12426</v>
      </c>
      <c r="N89" s="39">
        <f>M92</f>
        <v>12426</v>
      </c>
      <c r="O89" s="39">
        <f>N92</f>
        <v>12426</v>
      </c>
    </row>
    <row r="90" spans="2:15" x14ac:dyDescent="0.3">
      <c r="B90" t="s">
        <v>70</v>
      </c>
      <c r="D90" s="36"/>
      <c r="E90" s="36"/>
      <c r="F90" s="36"/>
      <c r="G90" s="36"/>
      <c r="H90" s="36"/>
      <c r="J90" s="34"/>
      <c r="K90" s="39">
        <f>K89*9.5%</f>
        <v>1180.47</v>
      </c>
      <c r="L90" s="39">
        <f>L89*9.5%</f>
        <v>1180.47</v>
      </c>
      <c r="M90" s="39">
        <f>M89*9.5%</f>
        <v>1180.47</v>
      </c>
      <c r="N90" s="39">
        <f>N89*9.5%</f>
        <v>1180.47</v>
      </c>
      <c r="O90" s="39">
        <f>O89*9.5%</f>
        <v>1180.47</v>
      </c>
    </row>
    <row r="91" spans="2:15" x14ac:dyDescent="0.3">
      <c r="B91" t="s">
        <v>71</v>
      </c>
      <c r="D91" s="20"/>
      <c r="E91" s="20"/>
      <c r="F91" s="20"/>
      <c r="G91" s="20"/>
      <c r="H91" s="20"/>
      <c r="J91" s="45"/>
      <c r="K91" s="51">
        <v>0</v>
      </c>
      <c r="L91" s="51">
        <v>0</v>
      </c>
      <c r="M91" s="51">
        <v>0</v>
      </c>
      <c r="N91" s="51">
        <v>0</v>
      </c>
      <c r="O91" s="51">
        <v>0</v>
      </c>
    </row>
    <row r="92" spans="2:15" x14ac:dyDescent="0.3">
      <c r="B92" t="s">
        <v>72</v>
      </c>
      <c r="D92" s="36"/>
      <c r="E92" s="36"/>
      <c r="F92" s="36"/>
      <c r="G92" s="36"/>
      <c r="H92" s="36"/>
      <c r="J92" s="55">
        <f>E24</f>
        <v>12426</v>
      </c>
      <c r="K92" s="50">
        <f>K89-K91</f>
        <v>12426</v>
      </c>
      <c r="L92" s="50">
        <f>L89-L91</f>
        <v>12426</v>
      </c>
      <c r="M92" s="50">
        <f>M89-M91</f>
        <v>12426</v>
      </c>
      <c r="N92" s="50">
        <f>N89-N91</f>
        <v>12426</v>
      </c>
      <c r="O92" s="50">
        <f>O89-O91</f>
        <v>12426</v>
      </c>
    </row>
    <row r="93" spans="2:15" x14ac:dyDescent="0.3">
      <c r="J93" s="34"/>
    </row>
    <row r="94" spans="2:15" x14ac:dyDescent="0.3">
      <c r="B94" s="13" t="s">
        <v>38</v>
      </c>
      <c r="J94" s="34"/>
    </row>
    <row r="95" spans="2:15" x14ac:dyDescent="0.3">
      <c r="B95" t="s">
        <v>69</v>
      </c>
      <c r="D95" s="36"/>
      <c r="E95" s="36"/>
      <c r="F95" s="36"/>
      <c r="G95" s="36"/>
      <c r="H95" s="36"/>
      <c r="J95" s="52"/>
      <c r="K95" s="39">
        <f t="shared" ref="K95:O98" si="5">K83+K89</f>
        <v>43164</v>
      </c>
      <c r="L95" s="39">
        <f t="shared" si="5"/>
        <v>44929.009806004004</v>
      </c>
      <c r="M95" s="39">
        <f t="shared" si="5"/>
        <v>46318.427918055138</v>
      </c>
      <c r="N95" s="39">
        <f t="shared" si="5"/>
        <v>47171.209638941982</v>
      </c>
      <c r="O95" s="39">
        <f t="shared" si="5"/>
        <v>47281.998411998487</v>
      </c>
    </row>
    <row r="96" spans="2:15" x14ac:dyDescent="0.3">
      <c r="B96" t="s">
        <v>70</v>
      </c>
      <c r="D96" s="36"/>
      <c r="E96" s="36"/>
      <c r="F96" s="36"/>
      <c r="G96" s="36"/>
      <c r="H96" s="36"/>
      <c r="J96" s="52"/>
      <c r="K96" s="39">
        <f t="shared" si="5"/>
        <v>3793.2</v>
      </c>
      <c r="L96" s="39">
        <f t="shared" si="5"/>
        <v>3943.2258335103406</v>
      </c>
      <c r="M96" s="39">
        <f t="shared" si="5"/>
        <v>4061.3263730346871</v>
      </c>
      <c r="N96" s="39">
        <f t="shared" si="5"/>
        <v>4133.8128193100683</v>
      </c>
      <c r="O96" s="39">
        <f t="shared" si="5"/>
        <v>4143.2298650198718</v>
      </c>
    </row>
    <row r="97" spans="2:32" x14ac:dyDescent="0.3">
      <c r="B97" t="s">
        <v>71</v>
      </c>
      <c r="D97" s="36"/>
      <c r="E97" s="36"/>
      <c r="F97" s="36"/>
      <c r="G97" s="36"/>
      <c r="H97" s="36"/>
      <c r="J97" s="53"/>
      <c r="K97" s="54">
        <f t="shared" si="5"/>
        <v>-1765.0098060039995</v>
      </c>
      <c r="L97" s="54">
        <f t="shared" si="5"/>
        <v>-1389.4181120511398</v>
      </c>
      <c r="M97" s="54">
        <f t="shared" si="5"/>
        <v>-852.78172088684551</v>
      </c>
      <c r="N97" s="54">
        <f t="shared" si="5"/>
        <v>-110.78877305650167</v>
      </c>
      <c r="O97" s="54">
        <f t="shared" si="5"/>
        <v>891.72354689580425</v>
      </c>
      <c r="W97" s="80"/>
      <c r="X97" s="80"/>
      <c r="Y97" s="80"/>
      <c r="Z97" s="80"/>
      <c r="AA97" s="80"/>
      <c r="AB97" s="80"/>
      <c r="AC97" s="80"/>
      <c r="AD97" s="80"/>
      <c r="AE97" s="80"/>
      <c r="AF97" s="80"/>
    </row>
    <row r="98" spans="2:32" x14ac:dyDescent="0.3">
      <c r="B98" t="s">
        <v>72</v>
      </c>
      <c r="D98" s="36"/>
      <c r="E98" s="36"/>
      <c r="F98" s="36"/>
      <c r="G98" s="36"/>
      <c r="H98" s="36"/>
      <c r="J98" s="55">
        <f>J86+J92</f>
        <v>43164</v>
      </c>
      <c r="K98" s="14">
        <f t="shared" si="5"/>
        <v>44929.009806004004</v>
      </c>
      <c r="L98" s="14">
        <f t="shared" si="5"/>
        <v>46318.427918055138</v>
      </c>
      <c r="M98" s="14">
        <f t="shared" si="5"/>
        <v>47171.209638941982</v>
      </c>
      <c r="N98" s="14">
        <f t="shared" si="5"/>
        <v>47281.998411998487</v>
      </c>
      <c r="O98" s="14">
        <f t="shared" si="5"/>
        <v>46390.274865102685</v>
      </c>
      <c r="W98" s="71"/>
      <c r="X98" s="71"/>
      <c r="Y98" s="71"/>
      <c r="Z98" s="71"/>
      <c r="AA98" s="71"/>
      <c r="AB98" s="71"/>
      <c r="AC98" s="71"/>
      <c r="AD98" s="71"/>
      <c r="AE98" s="71"/>
      <c r="AF98" s="71"/>
    </row>
    <row r="99" spans="2:32" x14ac:dyDescent="0.3">
      <c r="W99" s="71"/>
      <c r="X99" s="71"/>
      <c r="Y99" s="71"/>
      <c r="Z99" s="71"/>
      <c r="AA99" s="71"/>
      <c r="AB99" s="71"/>
      <c r="AC99" s="71"/>
      <c r="AD99" s="71"/>
      <c r="AE99" s="71"/>
      <c r="AF99" s="71"/>
    </row>
    <row r="100" spans="2:32" x14ac:dyDescent="0.3">
      <c r="B100" s="3" t="s">
        <v>21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 spans="2:32" x14ac:dyDescent="0.3">
      <c r="D101" s="36"/>
      <c r="E101" s="36"/>
      <c r="F101" s="36"/>
      <c r="G101" s="36"/>
      <c r="H101" s="36"/>
      <c r="O101" s="22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</row>
    <row r="102" spans="2:32" x14ac:dyDescent="0.3">
      <c r="B102" t="s">
        <v>74</v>
      </c>
      <c r="O102" s="36">
        <f>O41</f>
        <v>17676.475610112</v>
      </c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</row>
    <row r="103" spans="2:32" x14ac:dyDescent="0.3">
      <c r="B103" s="2" t="s">
        <v>75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81">
        <f>E16</f>
        <v>20</v>
      </c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</row>
    <row r="104" spans="2:32" x14ac:dyDescent="0.3">
      <c r="B104" t="s">
        <v>76</v>
      </c>
      <c r="O104" s="36">
        <f>O102*O103</f>
        <v>353529.51220224</v>
      </c>
    </row>
    <row r="105" spans="2:32" x14ac:dyDescent="0.3">
      <c r="B105" t="s">
        <v>77</v>
      </c>
      <c r="O105" s="39">
        <f>O98</f>
        <v>46390.274865102685</v>
      </c>
    </row>
    <row r="106" spans="2:32" x14ac:dyDescent="0.3">
      <c r="B106" s="27" t="s">
        <v>78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48">
        <f>O104-O105</f>
        <v>307139.23733713734</v>
      </c>
    </row>
    <row r="108" spans="2:32" x14ac:dyDescent="0.3">
      <c r="B108" t="s">
        <v>79</v>
      </c>
      <c r="O108" s="36">
        <f>E27</f>
        <v>91560</v>
      </c>
    </row>
    <row r="109" spans="2:32" x14ac:dyDescent="0.3">
      <c r="O109" s="36"/>
    </row>
    <row r="110" spans="2:32" x14ac:dyDescent="0.3">
      <c r="B110" s="56" t="s">
        <v>80</v>
      </c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8">
        <f>O106/O108</f>
        <v>3.3545132955126404</v>
      </c>
    </row>
    <row r="111" spans="2:32" x14ac:dyDescent="0.3">
      <c r="B111" s="59" t="s">
        <v>21</v>
      </c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1">
        <f>O110^(1/5)-1</f>
        <v>0.27387232758248015</v>
      </c>
    </row>
    <row r="115" spans="3:8" x14ac:dyDescent="0.3">
      <c r="C115" s="104">
        <f>O111</f>
        <v>0.27387232758248015</v>
      </c>
      <c r="D115" s="102">
        <v>16</v>
      </c>
      <c r="E115" s="102">
        <v>18</v>
      </c>
      <c r="F115" s="102">
        <v>20</v>
      </c>
      <c r="G115" s="102">
        <v>22</v>
      </c>
      <c r="H115" s="102">
        <v>24</v>
      </c>
    </row>
    <row r="116" spans="3:8" x14ac:dyDescent="0.3">
      <c r="C116" s="102">
        <v>16</v>
      </c>
      <c r="D116" s="103">
        <f t="dataTable" ref="D116:H120" dt2D="1" dtr="1" r1="E16" r2="E8" ca="1"/>
        <v>0.29620831485566579</v>
      </c>
      <c r="E116" s="103">
        <v>0.33284169204228098</v>
      </c>
      <c r="F116" s="103">
        <v>0.3658409258895603</v>
      </c>
      <c r="G116" s="103">
        <v>0.39592856889303807</v>
      </c>
      <c r="H116" s="103">
        <v>0.42362573267097936</v>
      </c>
    </row>
    <row r="117" spans="3:8" x14ac:dyDescent="0.3">
      <c r="C117" s="102">
        <v>18</v>
      </c>
      <c r="D117" s="103">
        <v>0.24803086666212093</v>
      </c>
      <c r="E117" s="103">
        <v>0.28330265512002994</v>
      </c>
      <c r="F117" s="103">
        <v>0.31507537401528873</v>
      </c>
      <c r="G117" s="103">
        <v>0.34404472002479358</v>
      </c>
      <c r="H117" s="103">
        <v>0.37071243609920845</v>
      </c>
    </row>
    <row r="118" spans="3:8" x14ac:dyDescent="0.3">
      <c r="C118" s="102">
        <v>20</v>
      </c>
      <c r="D118" s="103">
        <v>0.20892841309579047</v>
      </c>
      <c r="E118" s="103">
        <v>0.24309508988761874</v>
      </c>
      <c r="F118" s="103">
        <v>0.27387232758248015</v>
      </c>
      <c r="G118" s="103">
        <v>0.30193402576255801</v>
      </c>
      <c r="H118" s="103">
        <v>0.3277662071099281</v>
      </c>
    </row>
    <row r="119" spans="3:8" x14ac:dyDescent="0.3">
      <c r="C119" s="102">
        <v>22</v>
      </c>
      <c r="D119" s="103">
        <v>0.1761889195297377</v>
      </c>
      <c r="E119" s="103">
        <v>0.2094303143256413</v>
      </c>
      <c r="F119" s="103">
        <v>0.23937406083560142</v>
      </c>
      <c r="G119" s="103">
        <v>0.26667580848670935</v>
      </c>
      <c r="H119" s="103">
        <v>0.2918084177784821</v>
      </c>
    </row>
    <row r="120" spans="3:8" x14ac:dyDescent="0.3">
      <c r="C120" s="102">
        <v>24</v>
      </c>
      <c r="D120" s="103">
        <v>0.1481392219427633</v>
      </c>
      <c r="E120" s="103">
        <v>0.18058787753162919</v>
      </c>
      <c r="F120" s="103">
        <v>0.20981752699452572</v>
      </c>
      <c r="G120" s="103">
        <v>0.2364681838620919</v>
      </c>
      <c r="H120" s="103">
        <v>0.26100143187907254</v>
      </c>
    </row>
    <row r="122" spans="3:8" x14ac:dyDescent="0.3">
      <c r="C122" s="107">
        <f>O111</f>
        <v>0.27387232758248015</v>
      </c>
      <c r="D122" s="105">
        <v>5</v>
      </c>
      <c r="E122" s="105">
        <v>6.6</v>
      </c>
      <c r="F122" s="105">
        <v>8</v>
      </c>
    </row>
    <row r="123" spans="3:8" x14ac:dyDescent="0.3">
      <c r="C123" s="106">
        <v>0.15</v>
      </c>
      <c r="D123" s="103">
        <f t="dataTable" ref="D123:F127" dt2D="1" dtr="1" r1="Q2" r2="J15"/>
        <v>0.20049957290220921</v>
      </c>
      <c r="E123" s="103">
        <v>0.2110187536763739</v>
      </c>
      <c r="F123" s="103">
        <v>0.22201669318233286</v>
      </c>
    </row>
    <row r="124" spans="3:8" x14ac:dyDescent="0.3">
      <c r="C124" s="106">
        <v>0.18</v>
      </c>
      <c r="D124" s="103">
        <v>0.23591422568667819</v>
      </c>
      <c r="E124" s="103">
        <v>0.2489866165683472</v>
      </c>
      <c r="F124" s="103">
        <v>0.26255690970418732</v>
      </c>
    </row>
    <row r="125" spans="3:8" x14ac:dyDescent="0.3">
      <c r="C125" s="106">
        <v>0.2</v>
      </c>
      <c r="D125" s="103">
        <v>0.259255962988161</v>
      </c>
      <c r="E125" s="103">
        <v>0.27387232758248015</v>
      </c>
      <c r="F125" s="103">
        <v>0.2889846581184945</v>
      </c>
    </row>
    <row r="126" spans="3:8" x14ac:dyDescent="0.3">
      <c r="C126" s="106">
        <v>0.22</v>
      </c>
      <c r="D126" s="103">
        <v>0.28241173394019703</v>
      </c>
      <c r="E126" s="103">
        <v>0.29846533718720858</v>
      </c>
      <c r="F126" s="103">
        <v>0.31500521447234875</v>
      </c>
    </row>
    <row r="127" spans="3:8" x14ac:dyDescent="0.3">
      <c r="C127" s="106">
        <v>0.25</v>
      </c>
      <c r="D127" s="103">
        <v>0.31684098822281825</v>
      </c>
      <c r="E127" s="103">
        <v>0.33487975848082563</v>
      </c>
      <c r="F127" s="103">
        <v>0.35338070118635856</v>
      </c>
    </row>
  </sheetData>
  <mergeCells count="1">
    <mergeCell ref="Q2:S2"/>
  </mergeCells>
  <pageMargins left="0.7" right="0.7" top="0.75" bottom="0.75" header="0.3" footer="0.3"/>
  <pageSetup scale="4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Sood</dc:creator>
  <cp:lastModifiedBy>Amaya Sood</cp:lastModifiedBy>
  <cp:lastPrinted>2026-04-17T14:36:12Z</cp:lastPrinted>
  <dcterms:created xsi:type="dcterms:W3CDTF">2026-04-14T11:00:12Z</dcterms:created>
  <dcterms:modified xsi:type="dcterms:W3CDTF">2026-08-03T10:12:44Z</dcterms:modified>
</cp:coreProperties>
</file>